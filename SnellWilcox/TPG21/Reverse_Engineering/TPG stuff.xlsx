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t\Downloads\"/>
    </mc:Choice>
  </mc:AlternateContent>
  <xr:revisionPtr revIDLastSave="0" documentId="13_ncr:1_{296861F0-E8E1-4380-B4AE-5A1EE8F73848}" xr6:coauthVersionLast="47" xr6:coauthVersionMax="47" xr10:uidLastSave="{00000000-0000-0000-0000-000000000000}"/>
  <bookViews>
    <workbookView xWindow="7275" yWindow="3750" windowWidth="28800" windowHeight="16200" xr2:uid="{00000000-000D-0000-FFFF-FFFF00000000}"/>
  </bookViews>
  <sheets>
    <sheet name="Standard.dat and stdbytes" sheetId="1" r:id="rId1"/>
    <sheet name="Clamp timing" sheetId="2" r:id="rId2"/>
    <sheet name="StdByte2" sheetId="3" r:id="rId3"/>
    <sheet name="PLN  CPS header" sheetId="4" r:id="rId4"/>
    <sheet name="TPGIMPT forma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2" i="5" l="1"/>
  <c r="R42" i="5"/>
  <c r="P42" i="5"/>
  <c r="T41" i="5"/>
  <c r="R41" i="5"/>
  <c r="P41" i="5"/>
  <c r="T39" i="5"/>
  <c r="R39" i="5"/>
  <c r="P39" i="5"/>
  <c r="T37" i="5"/>
  <c r="R37" i="5"/>
  <c r="P37" i="5"/>
  <c r="T35" i="5"/>
  <c r="R35" i="5"/>
  <c r="P35" i="5"/>
  <c r="T34" i="5"/>
  <c r="R34" i="5"/>
  <c r="P34" i="5"/>
  <c r="T33" i="5"/>
  <c r="R33" i="5"/>
  <c r="P33" i="5"/>
  <c r="T32" i="5"/>
  <c r="R32" i="5"/>
  <c r="P32" i="5"/>
  <c r="T31" i="5"/>
  <c r="R31" i="5"/>
  <c r="P31" i="5"/>
  <c r="T30" i="5"/>
  <c r="R30" i="5"/>
  <c r="P30" i="5"/>
  <c r="T28" i="5"/>
  <c r="R28" i="5"/>
  <c r="P28" i="5"/>
  <c r="T27" i="5"/>
  <c r="R27" i="5"/>
  <c r="P27" i="5"/>
  <c r="T26" i="5"/>
  <c r="R26" i="5"/>
  <c r="P26" i="5"/>
  <c r="T23" i="5"/>
  <c r="R23" i="5"/>
  <c r="P23" i="5"/>
  <c r="T22" i="5"/>
  <c r="R22" i="5"/>
  <c r="P22" i="5"/>
  <c r="T20" i="5"/>
  <c r="R20" i="5"/>
  <c r="P20" i="5"/>
  <c r="T19" i="5"/>
  <c r="R19" i="5"/>
  <c r="P19" i="5"/>
  <c r="T18" i="5"/>
  <c r="R18" i="5"/>
  <c r="P18" i="5"/>
  <c r="T17" i="5"/>
  <c r="R17" i="5"/>
  <c r="P17" i="5"/>
  <c r="T16" i="5"/>
  <c r="R16" i="5"/>
  <c r="P16" i="5"/>
  <c r="T14" i="5"/>
  <c r="R14" i="5"/>
  <c r="P14" i="5"/>
  <c r="T13" i="5"/>
  <c r="R13" i="5"/>
  <c r="P13" i="5"/>
  <c r="T12" i="5"/>
  <c r="R12" i="5"/>
  <c r="P12" i="5"/>
  <c r="T11" i="5"/>
  <c r="R11" i="5"/>
  <c r="P11" i="5"/>
  <c r="T10" i="5"/>
  <c r="R10" i="5"/>
  <c r="P10" i="5"/>
  <c r="T8" i="5"/>
  <c r="R8" i="5"/>
  <c r="P8" i="5"/>
  <c r="T7" i="5"/>
  <c r="R7" i="5"/>
  <c r="P7" i="5"/>
  <c r="T6" i="5"/>
  <c r="R6" i="5"/>
  <c r="P6" i="5"/>
  <c r="T5" i="5"/>
  <c r="R5" i="5"/>
  <c r="P5" i="5"/>
  <c r="T4" i="5"/>
  <c r="R4" i="5"/>
  <c r="P4" i="5"/>
  <c r="T3" i="5"/>
  <c r="R3" i="5"/>
  <c r="P3" i="5"/>
  <c r="C38" i="4"/>
  <c r="C37" i="4"/>
  <c r="C34" i="3"/>
  <c r="C33" i="3"/>
  <c r="C31" i="3"/>
  <c r="C29" i="3"/>
  <c r="C27" i="3"/>
  <c r="C25" i="3"/>
  <c r="C23" i="3"/>
  <c r="C21" i="3"/>
  <c r="C20" i="3"/>
  <c r="C18" i="3"/>
  <c r="C16" i="3"/>
  <c r="C14" i="3"/>
  <c r="C12" i="3"/>
  <c r="C10" i="3"/>
  <c r="C8" i="3"/>
  <c r="C7" i="3"/>
  <c r="C5" i="3"/>
  <c r="C4" i="3"/>
  <c r="C3" i="3"/>
</calcChain>
</file>

<file path=xl/sharedStrings.xml><?xml version="1.0" encoding="utf-8"?>
<sst xmlns="http://schemas.openxmlformats.org/spreadsheetml/2006/main" count="840" uniqueCount="456">
  <si>
    <t>TPG standards and what they mean</t>
  </si>
  <si>
    <t>Standard Num</t>
  </si>
  <si>
    <t>std2 bit 2</t>
  </si>
  <si>
    <t>Std Byte 1</t>
  </si>
  <si>
    <t>Std Byte 2</t>
  </si>
  <si>
    <t>H_DIV_SEL</t>
  </si>
  <si>
    <t>V_DIV_SEL</t>
  </si>
  <si>
    <t>PRESET_MODE</t>
  </si>
  <si>
    <t>Crystal Type</t>
  </si>
  <si>
    <t>Output types</t>
  </si>
  <si>
    <t>Black Sample</t>
  </si>
  <si>
    <t>White Sample</t>
  </si>
  <si>
    <t>Black Volts</t>
  </si>
  <si>
    <t>White Volts</t>
  </si>
  <si>
    <t>H-Samples</t>
  </si>
  <si>
    <t>Lines</t>
  </si>
  <si>
    <t>Std1</t>
  </si>
  <si>
    <t>0x21</t>
  </si>
  <si>
    <t>0x01</t>
  </si>
  <si>
    <t>625 PAL / D2</t>
  </si>
  <si>
    <t>Digital Composite + Analogue Composite + Y + C</t>
  </si>
  <si>
    <t>0x100</t>
  </si>
  <si>
    <t>0x34c</t>
  </si>
  <si>
    <t>10-bit EBU 3280</t>
  </si>
  <si>
    <t>Std2</t>
  </si>
  <si>
    <t>0x09</t>
  </si>
  <si>
    <t>625 D2 (Digital)</t>
  </si>
  <si>
    <t>Poss Digital only</t>
  </si>
  <si>
    <t>Std3</t>
  </si>
  <si>
    <t>0x81</t>
  </si>
  <si>
    <t>625 PAL (Analogue)</t>
  </si>
  <si>
    <t xml:space="preserve">Poss Analogue only </t>
  </si>
  <si>
    <t>0x0f0</t>
  </si>
  <si>
    <t>0x320</t>
  </si>
  <si>
    <t>Std4</t>
  </si>
  <si>
    <t>0x31</t>
  </si>
  <si>
    <t>0x25</t>
  </si>
  <si>
    <t>625 D1/YPbPr (8-bit)</t>
  </si>
  <si>
    <t>Digital Component 4:2:2 and Analogue Component YPbPr</t>
  </si>
  <si>
    <t>0x2b6</t>
  </si>
  <si>
    <t>NOT Rec 601 8-bit - because of component sync level requirement below black??</t>
  </si>
  <si>
    <t>This may be 4:4:4 with 4:2:2 conversion happening on output for digital parallel and serial?</t>
  </si>
  <si>
    <t>Std5</t>
  </si>
  <si>
    <t>0x2d</t>
  </si>
  <si>
    <t>625 D10 (10-bit)</t>
  </si>
  <si>
    <t>Digital Component 4:2:2 10-bit (Digital only)</t>
  </si>
  <si>
    <t>0x040</t>
  </si>
  <si>
    <t>0x3ac</t>
  </si>
  <si>
    <t>Rec 601 10-bit</t>
  </si>
  <si>
    <t>The D1 10-bit Cb/Cr handling may be different (subsampling baked in?)</t>
  </si>
  <si>
    <t>Std6</t>
  </si>
  <si>
    <t>0x11</t>
  </si>
  <si>
    <t>0x05</t>
  </si>
  <si>
    <t>625 YPbPr</t>
  </si>
  <si>
    <t>Analogue Component only</t>
  </si>
  <si>
    <t>10-bit ST0244</t>
  </si>
  <si>
    <t>EBU N10</t>
  </si>
  <si>
    <t>NB 1135x625</t>
  </si>
  <si>
    <t>Std7</t>
  </si>
  <si>
    <t>625 RGB</t>
  </si>
  <si>
    <t>Analogue RGB only</t>
  </si>
  <si>
    <t>Std8</t>
  </si>
  <si>
    <t>625 PAL-N</t>
  </si>
  <si>
    <t>Analogue Composite + Y + C (only I suspect) (4fsc D2/D3 doesn't exist for PAL-N)</t>
  </si>
  <si>
    <t>Std9</t>
  </si>
  <si>
    <t>0x22</t>
  </si>
  <si>
    <t>625 SECAM-V</t>
  </si>
  <si>
    <t>Analogue composite (poss also Y+C) only I suspect (No D2/D3 for SECAM) Uses PAL 4fsc (-4 samples?)</t>
  </si>
  <si>
    <t>Std10</t>
  </si>
  <si>
    <t>0x20</t>
  </si>
  <si>
    <t>525 NTSC/D2</t>
  </si>
  <si>
    <t>7.5 IRE pedestal?</t>
  </si>
  <si>
    <t>Std11</t>
  </si>
  <si>
    <t>0x30</t>
  </si>
  <si>
    <t>525 D1 / YPbPr (8-bit)</t>
  </si>
  <si>
    <t>Std12</t>
  </si>
  <si>
    <t>525 D1 (10 bit)</t>
  </si>
  <si>
    <t>Std13</t>
  </si>
  <si>
    <t>0x10</t>
  </si>
  <si>
    <t>525 YPbPr</t>
  </si>
  <si>
    <t>NOT EBU N10</t>
  </si>
  <si>
    <t>NB 910x525</t>
  </si>
  <si>
    <t>Std14</t>
  </si>
  <si>
    <t>0x00</t>
  </si>
  <si>
    <t>525 RGB</t>
  </si>
  <si>
    <t>Std15</t>
  </si>
  <si>
    <t>0x24</t>
  </si>
  <si>
    <t>525 PAL-M</t>
  </si>
  <si>
    <t>Analogue Composite + Y + C (only I suspect) (4fsc D2/D3 doesn't exist for PAL-M)</t>
  </si>
  <si>
    <t>Std16</t>
  </si>
  <si>
    <t>0x26</t>
  </si>
  <si>
    <t>525 NTSC 4.43</t>
  </si>
  <si>
    <t>Analogue Composite + Y + C (only I suspect) (4fsc D2/D3 doesn't exist for NTSC 4.43)</t>
  </si>
  <si>
    <t>Std17</t>
  </si>
  <si>
    <t>625 PALplus</t>
  </si>
  <si>
    <t>Digital Composite + Analogue Composite + Y + C (I think)</t>
  </si>
  <si>
    <t>0x300</t>
  </si>
  <si>
    <t>????</t>
  </si>
  <si>
    <t>There's a bit set for CPS vs PLN flagging</t>
  </si>
  <si>
    <t>0x25 PLN vs 0x35 CPS</t>
  </si>
  <si>
    <t>Std18</t>
  </si>
  <si>
    <t>0x13 (Discovered by exporting 405 from TPGIMPT)</t>
  </si>
  <si>
    <t>0x05? ** I THINK THIS SHOULD BE 0x25 not 0x05 **</t>
  </si>
  <si>
    <t>405 YPbPr</t>
  </si>
  <si>
    <t>Analogue Y only</t>
  </si>
  <si>
    <t>N/A</t>
  </si>
  <si>
    <t>Monochrome Composite = YPbPr Y only</t>
  </si>
  <si>
    <t>0x00 = 525 RGB</t>
  </si>
  <si>
    <t>0x01 = 1135 + (4/625) PAL / D2 precise 4fsc. (PRECISE PAL 4fsc NON-ORTHOGONAL)</t>
  </si>
  <si>
    <t>0x01 = 625 RGB</t>
  </si>
  <si>
    <t>0x05 = 1135x625 orthogonal modes 625 YPbPr 4fsc, 625 RGB 4fsc, SECAM Composite 4fsc PAL, NTSC 4.43 Composite 4fsc PAL.  (THESE MODES ARE 'OFF FREQUENCY FOR PAL 4fsc')</t>
  </si>
  <si>
    <t>0x10 = 525 YPbPr (4fsc)</t>
  </si>
  <si>
    <t>0x11 = 625 YPbPr (4fsc)</t>
  </si>
  <si>
    <t>0x09 = 1135 + (4/625) PAL D2 (only?).  (Precise non-orthogonal PAL 4fsc)</t>
  </si>
  <si>
    <t>0x30 = 525 YPbPr (13.5MHz Rec 601)</t>
  </si>
  <si>
    <t>0x25 = 625 D1/YPbPr (13.5MHz Rec 601), NTSC D2 (4fsc NTSC), 525 YPbPr (4sc NTSC), 525 RGB (4fsc NTSC), 525 PAL-M (4fsc PAL-M), 625 PALplus (13.5MHz Rec 601). ALL OF THESE ARE ORTHOGONAL/LINE LOCKED NATIVELY</t>
  </si>
  <si>
    <t>0x31 = 625 YPbPr (13.5MHz Rec 601)</t>
  </si>
  <si>
    <t>0x2d = 625 D1 10 bit 13.5MHz Rec 601, 525 D1 10 bit 13.5MHz Rec 601 (SAME AS 0x25 BUT WITH REC 601 LEVELS?)</t>
  </si>
  <si>
    <t>0x13 = 405 YPbPr???</t>
  </si>
  <si>
    <t>0x81 = 625 PAL Analogue Same as other PAL/D2 modes but different levels (NON ORTHOGONAL PRECISE 4fsc)</t>
  </si>
  <si>
    <t>0x20 = 525 NTSC Composite</t>
  </si>
  <si>
    <t>IN FILES - 0x25 = PLN, 0x35 = CPS compressed</t>
  </si>
  <si>
    <t>0x21 = 625 PAL Composite</t>
  </si>
  <si>
    <t>Levels and/or crystal related???</t>
  </si>
  <si>
    <t>0x22 = 625 SECAM Composite</t>
  </si>
  <si>
    <t>Not sure how NTSC pedestal for +7.5 IRE is handled - is it baked into the source patterns?</t>
  </si>
  <si>
    <t>Nice gap for 0x23 = 405 Composite ;)</t>
  </si>
  <si>
    <t>0x24 = 525 PAL-M Composite</t>
  </si>
  <si>
    <t>LEVEL SPACES - though these don't directly map to voltage neccessarily - as there is also a voltage spec?</t>
  </si>
  <si>
    <t>0x25 = 625 PAL-N Composite</t>
  </si>
  <si>
    <t>0x26 = NTSC 4.43</t>
  </si>
  <si>
    <t>0x040 = 64 = 10-bit black in Rec 601 (i.e. 16.00)</t>
  </si>
  <si>
    <t>0x03ac = 940 = 10-bit white in Rec 601 (i.e. 235.00)</t>
  </si>
  <si>
    <t xml:space="preserve">1st Nibble </t>
  </si>
  <si>
    <t>0x100 = 4 x 0x40 (64) = 12 bit vs 10 bit black in Rec 601 level space</t>
  </si>
  <si>
    <t>0 = RGB 4fsc</t>
  </si>
  <si>
    <t>0x2b6 = 4 x 0xAD (173) - not sure this is is significant</t>
  </si>
  <si>
    <t>1 = YPbPr 4fsc</t>
  </si>
  <si>
    <t>2 = Composite + Y + C 4fsc</t>
  </si>
  <si>
    <t>0x100 = 4 x 0x40 (64) = Black in EBU 3280 4fsc composite PAL (10 bit EBU 3280)</t>
  </si>
  <si>
    <t>3 = YPbPr D1/Rec 601</t>
  </si>
  <si>
    <t>0x34c = 4 x 0xD3 (211) = White in EBU 3280 4fsc composite PAL (10-bit EBU 3280)</t>
  </si>
  <si>
    <t xml:space="preserve">2nd Nibble </t>
  </si>
  <si>
    <t>0x0f0 =  4 x 0xC3 (60) = Blanking in ST0244 4fsc NTSC (10-bit ST0244)</t>
  </si>
  <si>
    <t>0x0f0 - 0x320 is used by all the 625 and 525 Analogue Component and RGB modes too?</t>
  </si>
  <si>
    <t>0 = 525 NTSC</t>
  </si>
  <si>
    <t>0x320 = 4 x 0xC8 (200) = White in ST0244 4fsc NTSC (10-bit ST0244)</t>
  </si>
  <si>
    <t>1 = 625 PAL</t>
  </si>
  <si>
    <t>2 = 625 SECAM</t>
  </si>
  <si>
    <t>0x100 to 0x300 in PALplus may be related to something Rec 601 vs EBU 3280 levelsness?</t>
  </si>
  <si>
    <t>3 = 405 ?</t>
  </si>
  <si>
    <t>0x100 = EBU 3280 black (which make sense for a signal with syncs in it)</t>
  </si>
  <si>
    <t>4 = 525 PAL-M</t>
  </si>
  <si>
    <t>0x300 = 4x 0xC0 (192) - why so much lower ?</t>
  </si>
  <si>
    <t>5 = 625 PAL-N</t>
  </si>
  <si>
    <t>Is there a PALplus level spec?</t>
  </si>
  <si>
    <t>6 = NTSC 4.43</t>
  </si>
  <si>
    <t>H_DIV N160 stuff</t>
  </si>
  <si>
    <t>CLAMP</t>
  </si>
  <si>
    <t>PAL Composite and 625 Analogue RGB/Component</t>
  </si>
  <si>
    <t>16 clocks 0, after TC</t>
  </si>
  <si>
    <t>PAL-N Composite</t>
  </si>
  <si>
    <t>PAL-M Composite</t>
  </si>
  <si>
    <t>NTSC Composite and 525 Analogue RGB/Component</t>
  </si>
  <si>
    <t>525 D1 Component and D1 Component + Analogue Component</t>
  </si>
  <si>
    <t>625 D1 Component, 625 D1 Component + Analogue Componen, PALPlus</t>
  </si>
  <si>
    <t>13 clocks, 17 before TC</t>
  </si>
  <si>
    <t>525 NTSC 4.43 Composite</t>
  </si>
  <si>
    <t>1125 HiVision</t>
  </si>
  <si>
    <t>Could replace 560 allocated to 1125 (7) with 1280 for 405???</t>
  </si>
  <si>
    <t>V_DIV N161</t>
  </si>
  <si>
    <t>Eureka 1250/50 (2x625)</t>
  </si>
  <si>
    <t>HiVision/HDVS 1125/60 and 59.94</t>
  </si>
  <si>
    <t>I thnk this is 735 progressive possibly (which became 750 total lines aka 720p?)</t>
  </si>
  <si>
    <t>1050 (US proposed 2x525)</t>
  </si>
  <si>
    <t>Could replace 1125 (3) allocated to 1125 with 405???</t>
  </si>
  <si>
    <t>12.96 MHz mod:</t>
  </si>
  <si>
    <t>Remove R323</t>
  </si>
  <si>
    <t>Replace L14 with 0.47 uH</t>
  </si>
  <si>
    <t>Leave C228 at 100pF (Although reducing to 47pF reduces error by around 100Hz)</t>
  </si>
  <si>
    <t xml:space="preserve">Video Timings </t>
  </si>
  <si>
    <t>S of Dig Blank</t>
  </si>
  <si>
    <t>S of FP</t>
  </si>
  <si>
    <t>0H/Sync fall</t>
  </si>
  <si>
    <t>Sync rise</t>
  </si>
  <si>
    <t>Clamp Start</t>
  </si>
  <si>
    <t>Clamp End</t>
  </si>
  <si>
    <t>E of dig blank</t>
  </si>
  <si>
    <t>S of dig act</t>
  </si>
  <si>
    <t>S of ana act</t>
  </si>
  <si>
    <t>E of ana act</t>
  </si>
  <si>
    <t>E of dig act</t>
  </si>
  <si>
    <t>Rec 601 525</t>
  </si>
  <si>
    <t>799?</t>
  </si>
  <si>
    <t>-16/858</t>
  </si>
  <si>
    <t>63.5 ?</t>
  </si>
  <si>
    <t>Rec 601 625</t>
  </si>
  <si>
    <t>795?</t>
  </si>
  <si>
    <t>-12/864</t>
  </si>
  <si>
    <t>4fsc NTSC</t>
  </si>
  <si>
    <t>784.xx</t>
  </si>
  <si>
    <t>851.x?</t>
  </si>
  <si>
    <t>884  1.4us offset?</t>
  </si>
  <si>
    <t>900 2.5us offset?</t>
  </si>
  <si>
    <t>-16.xx</t>
  </si>
  <si>
    <t>67.3?</t>
  </si>
  <si>
    <t>125.xx</t>
  </si>
  <si>
    <t>126.xx</t>
  </si>
  <si>
    <t>893.xx</t>
  </si>
  <si>
    <t>4fsc PAL</t>
  </si>
  <si>
    <t>4 2us offset?</t>
  </si>
  <si>
    <t>21 2.9us offset?</t>
  </si>
  <si>
    <t>1134 (+4/625)</t>
  </si>
  <si>
    <t>-12.96 to -19.44</t>
  </si>
  <si>
    <t>104-130?</t>
  </si>
  <si>
    <t>207.32-220.32</t>
  </si>
  <si>
    <t>1-1.5us</t>
  </si>
  <si>
    <t>8-10us</t>
  </si>
  <si>
    <t>16-17us from 0H</t>
  </si>
  <si>
    <t>405 spec horizontal blanking duration = 1-1.5us front porch before 0H + 16-17us after 0H (including 8-10us H-sync pulse)</t>
  </si>
  <si>
    <t>In 12.96MHz clock cyles this is ~220 to 240</t>
  </si>
  <si>
    <t>TPG20/21 spec = 1280 samples total, 1054 samples active, so 226 blanking - nearer the minimum of the analogue spec</t>
  </si>
  <si>
    <t>Source</t>
  </si>
  <si>
    <t>Digital</t>
  </si>
  <si>
    <t>Analogue</t>
  </si>
  <si>
    <t>Samples</t>
  </si>
  <si>
    <t>Orthogonal</t>
  </si>
  <si>
    <t>standard.dat</t>
  </si>
  <si>
    <t>YES</t>
  </si>
  <si>
    <t>No</t>
  </si>
  <si>
    <t>NO</t>
  </si>
  <si>
    <t>D1 output converted from analogue levels</t>
  </si>
  <si>
    <t>Yes</t>
  </si>
  <si>
    <t>CPS</t>
  </si>
  <si>
    <t>0x35</t>
  </si>
  <si>
    <t>PLN?</t>
  </si>
  <si>
    <t>Nibble 2</t>
  </si>
  <si>
    <t>Bit 0</t>
  </si>
  <si>
    <t>Always 1 so far</t>
  </si>
  <si>
    <t>Bit 1</t>
  </si>
  <si>
    <t>Always 0 so far</t>
  </si>
  <si>
    <t>Bit 2</t>
  </si>
  <si>
    <t>0 = Non-orthogonal  (4fsc PAL and PAL-N BUT NOT 13.5MHz PALplus - so not 2-frame vs 4-frame)</t>
  </si>
  <si>
    <t>1 = Orthogonal (Component/RGB, SECAM, PAL-M and NTSC 4.43)</t>
  </si>
  <si>
    <t>Bit 3</t>
  </si>
  <si>
    <t>1 = D1/D2 Digital Only output (no DACs / Don't change levels for D1)</t>
  </si>
  <si>
    <t>THIS COULD DRIVE DAC_BL (DAC_BLANK?)</t>
  </si>
  <si>
    <t>0 = Digital + Analogue or just Analogue (DACs enabled / change levels for D1)</t>
  </si>
  <si>
    <t>Nibble 1</t>
  </si>
  <si>
    <t>Bit 4</t>
  </si>
  <si>
    <t>Compressed (1=CPS, 0=PLN) standard.dat = PLN figures</t>
  </si>
  <si>
    <t>Bit 5</t>
  </si>
  <si>
    <t>0 = PAL D2 / D2 / PAL Analogue / 625 YCbCr/RGB Analogue / 625 SECAM Analogue / 525 NTSC 4.43 Ana</t>
  </si>
  <si>
    <t>17.72MHz 4fsc PAL frequency modes only (but includes SECAM and NTSC 4.43)</t>
  </si>
  <si>
    <t>1 = 625 D1+YPbPr / D1 / 625 PAL-N Analogue / 525 NTSC D2 / 525 D1+YPbPr / 525 D1 / 525 YPbR/RGB Analogue / 525 PAL-M / 625 PALplus</t>
  </si>
  <si>
    <t>13.5MHz Rec 601/PALplus, 14.43MHz PAL-M, 14.43MHz PAL-N (non-orthogonal), 14.43MHz NTSC and 525 RGB/YPbPr</t>
  </si>
  <si>
    <t>Bit 6</t>
  </si>
  <si>
    <t>Bit 7</t>
  </si>
  <si>
    <t xml:space="preserve">Only set for Analogue only PAL 4sc with diff levels to D2 </t>
  </si>
  <si>
    <t>Might be worth seeing what Stdbyte2s are for the HD and 405 formats</t>
  </si>
  <si>
    <t>Bit 2 + Bit 5 together tell you whether it's orthogonal vs non-orthogonal and whether it's PAL 4fsc 17.72MHz crystal based or something else?</t>
  </si>
  <si>
    <t>Bit 3 blanks the DAC analogue outputs for digital only modes</t>
  </si>
  <si>
    <t>ub_0x00 - Header 0xFF?</t>
  </si>
  <si>
    <t>std1 (8-bit)</t>
  </si>
  <si>
    <t>refer to sheet 1</t>
  </si>
  <si>
    <t>lines_per_frame (16-bit)</t>
  </si>
  <si>
    <t>samples_per_line (16-bit)</t>
  </si>
  <si>
    <t>line_duration_ns (16-bit)</t>
  </si>
  <si>
    <t>std2 (8-bit)</t>
  </si>
  <si>
    <t>text1 (16 characters)</t>
  </si>
  <si>
    <t>text2 (16 characters)</t>
  </si>
  <si>
    <t>ub_0x29</t>
  </si>
  <si>
    <t>movement_region_top_line (16-bit)</t>
  </si>
  <si>
    <t>movement_region_first_sample (16-bit)</t>
  </si>
  <si>
    <t>movement_region_bottom_line (16-bit)</t>
  </si>
  <si>
    <t>movement_region_last_sample (16-bit)</t>
  </si>
  <si>
    <t>mo_samples_per_line (16-bit)</t>
  </si>
  <si>
    <t>mo_lines_per_frame (16-bit)</t>
  </si>
  <si>
    <t>bytes_per_block[4] (32-bit, x4)</t>
  </si>
  <si>
    <t>bytes_per_mo_block[4] (32-bit, x4)</t>
  </si>
  <si>
    <t>ub_0x56</t>
  </si>
  <si>
    <t>ub_0x57</t>
  </si>
  <si>
    <t>clock_crystal (8-bit index, see STANDARD.DAT)</t>
  </si>
  <si>
    <t>pattern_group (8-bit index)</t>
  </si>
  <si>
    <t>ub_0x5a</t>
  </si>
  <si>
    <t>ub_0x5b</t>
  </si>
  <si>
    <t>ub_0x5c</t>
  </si>
  <si>
    <t>ub = unknown\</t>
  </si>
  <si>
    <t>405.PLN header</t>
  </si>
  <si>
    <t>FF 13 01 95 05 00 FF FF 25 49 6D 70 6F 72 74 3A</t>
  </si>
  <si>
    <t>ubs</t>
  </si>
  <si>
    <t>02-NTSC CPS</t>
  </si>
  <si>
    <t>02-PAL CPS</t>
  </si>
  <si>
    <t>02 525 D1 CPS</t>
  </si>
  <si>
    <t>405 TPGIMPT</t>
  </si>
  <si>
    <t>625 SECAM TPGIMPT</t>
  </si>
  <si>
    <t>TCF</t>
  </si>
  <si>
    <t>405.CPS header FF 13 01 95 05 00 FF FF 35 49 6D 70 6F 72 74 3A</t>
  </si>
  <si>
    <t>0x29</t>
  </si>
  <si>
    <t>0x7F</t>
  </si>
  <si>
    <t>FF</t>
  </si>
  <si>
    <t>0x56</t>
  </si>
  <si>
    <t>std1byte</t>
  </si>
  <si>
    <t>0x13</t>
  </si>
  <si>
    <t>0x57</t>
  </si>
  <si>
    <t>lines per frame</t>
  </si>
  <si>
    <t>0x195</t>
  </si>
  <si>
    <t>0x5a</t>
  </si>
  <si>
    <t>samples per line</t>
  </si>
  <si>
    <t>0x0500</t>
  </si>
  <si>
    <t>0x5b</t>
  </si>
  <si>
    <t>line_dur</t>
  </si>
  <si>
    <t>0xFFFF</t>
  </si>
  <si>
    <t>0x5c</t>
  </si>
  <si>
    <t>std2byte</t>
  </si>
  <si>
    <t>PLN</t>
  </si>
  <si>
    <t>Total Lines</t>
  </si>
  <si>
    <t>Field / frame rate</t>
  </si>
  <si>
    <t>Active Lines</t>
  </si>
  <si>
    <t>First Line</t>
  </si>
  <si>
    <t>Total Samples</t>
  </si>
  <si>
    <t>Active Samples</t>
  </si>
  <si>
    <t>Total Line Dur</t>
  </si>
  <si>
    <t>Active Line Dur</t>
  </si>
  <si>
    <t>Crystal</t>
  </si>
  <si>
    <t>Output Digital</t>
  </si>
  <si>
    <t>Output Analogue</t>
  </si>
  <si>
    <t>Blanking</t>
  </si>
  <si>
    <t>Black</t>
  </si>
  <si>
    <t>White</t>
  </si>
  <si>
    <t>Analogue sync</t>
  </si>
  <si>
    <t>Uncompressed File Size</t>
  </si>
  <si>
    <t>Min CPS Size</t>
  </si>
  <si>
    <t>Std bytes?</t>
  </si>
  <si>
    <t>H_DIV</t>
  </si>
  <si>
    <t>File bit depth</t>
  </si>
  <si>
    <t>TPG Bit</t>
  </si>
  <si>
    <t>8bit dec</t>
  </si>
  <si>
    <t>10bit hex</t>
  </si>
  <si>
    <t>8-bit decimal</t>
  </si>
  <si>
    <t>GUESSES</t>
  </si>
  <si>
    <t>1050 HDTV</t>
  </si>
  <si>
    <t>6 (18.881117 MHz)</t>
  </si>
  <si>
    <t>Analogue Only</t>
  </si>
  <si>
    <t>2520093 bytes</t>
  </si>
  <si>
    <t>35043 bytes</t>
  </si>
  <si>
    <t>10 / 9 / 9</t>
  </si>
  <si>
    <t>1125 274M-3</t>
  </si>
  <si>
    <t>9 (74.25 MHz)</t>
  </si>
  <si>
    <t>Digital ?</t>
  </si>
  <si>
    <t>Analogue ?</t>
  </si>
  <si>
    <t>0 ?</t>
  </si>
  <si>
    <t>9900093 bytes</t>
  </si>
  <si>
    <t>100000 bytes</t>
  </si>
  <si>
    <t>Sync can't be 0 in digital?</t>
  </si>
  <si>
    <t>1125 HiVision/59.94</t>
  </si>
  <si>
    <t>38143 bytes</t>
  </si>
  <si>
    <t>1125 HiVision/60</t>
  </si>
  <si>
    <t>5 (18.5625 MHz)</t>
  </si>
  <si>
    <t>2475093 bytes</t>
  </si>
  <si>
    <t>1250 Eureka</t>
  </si>
  <si>
    <t>2970093 bytes</t>
  </si>
  <si>
    <t>45390 bytes</t>
  </si>
  <si>
    <t xml:space="preserve"> 405 Monochrome</t>
  </si>
  <si>
    <t>8 (12.96 MHz)</t>
  </si>
  <si>
    <t>2073693 bytes</t>
  </si>
  <si>
    <t>19522 bytes</t>
  </si>
  <si>
    <t>525 D1 / YPrPb</t>
  </si>
  <si>
    <t>59.94?</t>
  </si>
  <si>
    <t>0 (13.5 MHz)</t>
  </si>
  <si>
    <t xml:space="preserve">Analogue  </t>
  </si>
  <si>
    <t>1801893 bytes</t>
  </si>
  <si>
    <t>13536 bytes</t>
  </si>
  <si>
    <t>0x30 0x25</t>
  </si>
  <si>
    <t xml:space="preserve">10 / 9 / 9 </t>
  </si>
  <si>
    <t>NEEDS SYNC PULSES</t>
  </si>
  <si>
    <t>Not stored Rec 601</t>
  </si>
  <si>
    <t>525 D1</t>
  </si>
  <si>
    <t>59.94 ?</t>
  </si>
  <si>
    <t>Digital Only</t>
  </si>
  <si>
    <t>1901 bytes</t>
  </si>
  <si>
    <t>0x30 0x2d</t>
  </si>
  <si>
    <t>NO SYNC PULSES</t>
  </si>
  <si>
    <t>Rec 601</t>
  </si>
  <si>
    <t>525 Progressive YPbPr/RGB</t>
  </si>
  <si>
    <t>2 (14.31818 MHz)</t>
  </si>
  <si>
    <t>1260093 bytes</t>
  </si>
  <si>
    <t>17002 bytes</t>
  </si>
  <si>
    <t>1911093 bytes</t>
  </si>
  <si>
    <t>10845 bytes</t>
  </si>
  <si>
    <t>0x10 0x25</t>
  </si>
  <si>
    <t>0x00 0x25</t>
  </si>
  <si>
    <t xml:space="preserve">625 D1 / YPrPb </t>
  </si>
  <si>
    <t xml:space="preserve">Analogue </t>
  </si>
  <si>
    <t>2160093 bytes</t>
  </si>
  <si>
    <t>19125 bytes</t>
  </si>
  <si>
    <t>0x31 0x25</t>
  </si>
  <si>
    <t>625 D1</t>
  </si>
  <si>
    <t>2253 bytes</t>
  </si>
  <si>
    <t>0x31 0x2d</t>
  </si>
  <si>
    <t>625 Progressive</t>
  </si>
  <si>
    <t>1 (17.73447 MHz)</t>
  </si>
  <si>
    <t>1485093 bytes</t>
  </si>
  <si>
    <t>22703 bytes</t>
  </si>
  <si>
    <t>2837593 bytes</t>
  </si>
  <si>
    <t>0x11 0x05</t>
  </si>
  <si>
    <t>0x01 0x05</t>
  </si>
  <si>
    <t xml:space="preserve">735 RGB </t>
  </si>
  <si>
    <t>1681773 bytes</t>
  </si>
  <si>
    <t>15472 bytes</t>
  </si>
  <si>
    <t>875 RGB</t>
  </si>
  <si>
    <t xml:space="preserve"> </t>
  </si>
  <si>
    <t>1981093 bytes</t>
  </si>
  <si>
    <t>33681 bytes</t>
  </si>
  <si>
    <t>1433343 bytes</t>
  </si>
  <si>
    <t>66761 bytes</t>
  </si>
  <si>
    <t>0x20 0x25</t>
  </si>
  <si>
    <t>10 / 9</t>
  </si>
  <si>
    <t>Pedestal</t>
  </si>
  <si>
    <t>ST 0244 levels</t>
  </si>
  <si>
    <t>1773543 bytes</t>
  </si>
  <si>
    <t>81017 bytes</t>
  </si>
  <si>
    <t>0x26 0x05</t>
  </si>
  <si>
    <t>525 NTSC-J</t>
  </si>
  <si>
    <t>57043 bytes</t>
  </si>
  <si>
    <t>No Pedestal</t>
  </si>
  <si>
    <t>625 PAL-B,G /D3</t>
  </si>
  <si>
    <t>112173 bytes</t>
  </si>
  <si>
    <t>0x21 0x01</t>
  </si>
  <si>
    <t>EBU 3280 levels</t>
  </si>
  <si>
    <t>625 PAL-B,G Analogue</t>
  </si>
  <si>
    <t>92232 bytes</t>
  </si>
  <si>
    <t>0x21 0x81</t>
  </si>
  <si>
    <t>625 PAL-B,G (D3</t>
  </si>
  <si>
    <t>0x21 0x09</t>
  </si>
  <si>
    <t>625 PAL-I /D2,D3</t>
  </si>
  <si>
    <t>115555 bytes</t>
  </si>
  <si>
    <t>625 PAL-I Analogue</t>
  </si>
  <si>
    <t>96131 bytes</t>
  </si>
  <si>
    <t>625 PAL-I (D2,D3)</t>
  </si>
  <si>
    <t>4 (14.3024 MHz)</t>
  </si>
  <si>
    <t>1908993 bytes</t>
  </si>
  <si>
    <t>76804 bytes</t>
  </si>
  <si>
    <t>0x24 0x25</t>
  </si>
  <si>
    <t>3 (14.328225 MHz)</t>
  </si>
  <si>
    <t>2292593 bytes</t>
  </si>
  <si>
    <t>84807 bytes</t>
  </si>
  <si>
    <t>0x25 0x21</t>
  </si>
  <si>
    <t>625 PALplus Camera</t>
  </si>
  <si>
    <t>87755 bytes</t>
  </si>
  <si>
    <t>0x21 0x25</t>
  </si>
  <si>
    <t>NB LEVELS</t>
  </si>
  <si>
    <t>625 PALplus Film</t>
  </si>
  <si>
    <t>NO HELP ENTRY FOR SECAM</t>
  </si>
  <si>
    <t>Tune CV4 as close as 12.96MHz as possible</t>
  </si>
  <si>
    <t>Populate 12.96 MHz xtal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</si>
</sst>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A0A0A"/>
      <name val="Monospace"/>
    </font>
  </fonts>
  <fills count="3">
    <fill>
      <patternFill patternType="none"/>
    </fill>
    <fill>
      <patternFill patternType="gray125"/>
    </fill>
    <fill>
      <patternFill patternType="solid">
        <fgColor rgb="FFF3F5F6"/>
        <bgColor rgb="FFF3F5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6"/>
  <sheetViews>
    <sheetView tabSelected="1" workbookViewId="0">
      <selection activeCell="B85" sqref="B85"/>
    </sheetView>
  </sheetViews>
  <sheetFormatPr defaultColWidth="12.5703125" defaultRowHeight="15.75" customHeight="1"/>
  <cols>
    <col min="2" max="2" width="69.85546875" bestFit="1" customWidth="1"/>
    <col min="3" max="3" width="23" customWidth="1"/>
    <col min="4" max="4" width="11" customWidth="1"/>
    <col min="5" max="5" width="11.85546875" customWidth="1"/>
    <col min="6" max="6" width="13.42578125" customWidth="1"/>
    <col min="7" max="7" width="35.7109375" customWidth="1"/>
    <col min="8" max="8" width="14" customWidth="1"/>
    <col min="9" max="9" width="53" customWidth="1"/>
    <col min="10" max="10" width="11.42578125" customWidth="1"/>
    <col min="11" max="11" width="9.85546875" customWidth="1"/>
    <col min="12" max="12" width="13.5703125" customWidth="1"/>
    <col min="13" max="13" width="7.42578125" customWidth="1"/>
    <col min="14" max="14" width="7.5703125" customWidth="1"/>
  </cols>
  <sheetData>
    <row r="1" spans="1:19">
      <c r="B1" s="1" t="s">
        <v>0</v>
      </c>
    </row>
    <row r="2" spans="1:19">
      <c r="A2" s="1" t="s">
        <v>1</v>
      </c>
      <c r="F2" s="1" t="s">
        <v>2</v>
      </c>
    </row>
    <row r="3" spans="1:19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 t="s">
        <v>12</v>
      </c>
      <c r="N3" s="1" t="s">
        <v>13</v>
      </c>
      <c r="O3" s="1"/>
      <c r="P3" s="1" t="s">
        <v>14</v>
      </c>
      <c r="Q3" s="1" t="s">
        <v>15</v>
      </c>
    </row>
    <row r="4" spans="1:19" ht="15.75" customHeight="1">
      <c r="A4" s="1" t="s">
        <v>16</v>
      </c>
      <c r="B4" s="1" t="s">
        <v>17</v>
      </c>
      <c r="C4" s="1" t="s">
        <v>18</v>
      </c>
      <c r="D4" s="2">
        <v>0</v>
      </c>
      <c r="E4" s="1">
        <v>0</v>
      </c>
      <c r="F4" s="1">
        <v>0</v>
      </c>
      <c r="G4" s="1" t="s">
        <v>19</v>
      </c>
      <c r="H4" s="1">
        <v>1</v>
      </c>
      <c r="I4" s="1" t="s">
        <v>20</v>
      </c>
      <c r="J4" s="1" t="s">
        <v>21</v>
      </c>
      <c r="K4" s="1" t="s">
        <v>22</v>
      </c>
      <c r="L4" s="1" t="s">
        <v>23</v>
      </c>
      <c r="M4" s="1">
        <v>0</v>
      </c>
      <c r="N4" s="1">
        <v>700</v>
      </c>
      <c r="O4" s="1"/>
      <c r="P4" s="1">
        <v>1135</v>
      </c>
      <c r="Q4" s="1">
        <v>625</v>
      </c>
    </row>
    <row r="5" spans="1:19" ht="15.75" customHeight="1">
      <c r="A5" s="1" t="s">
        <v>24</v>
      </c>
      <c r="B5" s="1" t="s">
        <v>17</v>
      </c>
      <c r="C5" s="1" t="s">
        <v>25</v>
      </c>
      <c r="D5" s="3">
        <v>0</v>
      </c>
      <c r="E5" s="1">
        <v>0</v>
      </c>
      <c r="F5" s="1">
        <v>0</v>
      </c>
      <c r="G5" s="1" t="s">
        <v>26</v>
      </c>
      <c r="H5" s="1">
        <v>1</v>
      </c>
      <c r="I5" s="1" t="s">
        <v>27</v>
      </c>
      <c r="J5" s="1" t="s">
        <v>21</v>
      </c>
      <c r="K5" s="1" t="s">
        <v>22</v>
      </c>
      <c r="L5" s="1" t="s">
        <v>23</v>
      </c>
      <c r="M5" s="1">
        <v>0</v>
      </c>
      <c r="N5" s="1">
        <v>700</v>
      </c>
      <c r="O5" s="1"/>
      <c r="P5" s="1">
        <v>1135</v>
      </c>
      <c r="Q5" s="1">
        <v>625</v>
      </c>
    </row>
    <row r="6" spans="1:19" ht="15.75" customHeight="1">
      <c r="A6" s="1" t="s">
        <v>28</v>
      </c>
      <c r="B6" s="1" t="s">
        <v>17</v>
      </c>
      <c r="C6" s="1" t="s">
        <v>29</v>
      </c>
      <c r="D6" s="3"/>
      <c r="E6" s="1"/>
      <c r="F6" s="1">
        <v>0</v>
      </c>
      <c r="G6" s="1" t="s">
        <v>30</v>
      </c>
      <c r="H6" s="1">
        <v>1</v>
      </c>
      <c r="I6" s="1" t="s">
        <v>31</v>
      </c>
      <c r="J6" s="1" t="s">
        <v>32</v>
      </c>
      <c r="K6" s="1" t="s">
        <v>33</v>
      </c>
      <c r="M6" s="1">
        <v>0</v>
      </c>
      <c r="N6" s="1">
        <v>700</v>
      </c>
    </row>
    <row r="7" spans="1:19" ht="15.75" customHeight="1">
      <c r="D7" s="3"/>
    </row>
    <row r="8" spans="1:19" ht="15.75" customHeight="1">
      <c r="A8" s="1" t="s">
        <v>34</v>
      </c>
      <c r="B8" s="1" t="s">
        <v>35</v>
      </c>
      <c r="C8" s="1" t="s">
        <v>36</v>
      </c>
      <c r="D8" s="2">
        <v>5</v>
      </c>
      <c r="E8" s="1">
        <v>0</v>
      </c>
      <c r="F8" s="1">
        <v>1</v>
      </c>
      <c r="G8" s="1" t="s">
        <v>37</v>
      </c>
      <c r="H8" s="1">
        <v>0</v>
      </c>
      <c r="I8" s="1" t="s">
        <v>38</v>
      </c>
      <c r="J8" s="1" t="s">
        <v>21</v>
      </c>
      <c r="K8" s="1" t="s">
        <v>39</v>
      </c>
      <c r="L8" s="1" t="s">
        <v>40</v>
      </c>
      <c r="M8" s="1">
        <v>0</v>
      </c>
      <c r="N8" s="1">
        <v>700</v>
      </c>
      <c r="O8" s="1"/>
      <c r="P8" s="1">
        <v>864</v>
      </c>
      <c r="Q8" s="1">
        <v>625</v>
      </c>
      <c r="S8" s="1" t="s">
        <v>41</v>
      </c>
    </row>
    <row r="9" spans="1:19" ht="15.75" customHeight="1">
      <c r="A9" s="1" t="s">
        <v>42</v>
      </c>
      <c r="B9" s="1" t="s">
        <v>35</v>
      </c>
      <c r="C9" s="1" t="s">
        <v>43</v>
      </c>
      <c r="D9" s="3">
        <v>5</v>
      </c>
      <c r="E9" s="1">
        <v>0</v>
      </c>
      <c r="F9" s="1">
        <v>1</v>
      </c>
      <c r="G9" s="1" t="s">
        <v>44</v>
      </c>
      <c r="H9" s="1">
        <v>0</v>
      </c>
      <c r="I9" s="1" t="s">
        <v>45</v>
      </c>
      <c r="J9" s="1" t="s">
        <v>46</v>
      </c>
      <c r="K9" s="1" t="s">
        <v>47</v>
      </c>
      <c r="L9" s="1" t="s">
        <v>48</v>
      </c>
      <c r="M9" s="1">
        <v>0</v>
      </c>
      <c r="N9" s="1">
        <v>700</v>
      </c>
      <c r="O9" s="1"/>
      <c r="P9" s="1">
        <v>864</v>
      </c>
      <c r="Q9" s="1">
        <v>625</v>
      </c>
      <c r="S9" s="1" t="s">
        <v>49</v>
      </c>
    </row>
    <row r="10" spans="1:19" ht="15.75" customHeight="1">
      <c r="A10" s="1"/>
      <c r="B10" s="1"/>
      <c r="C10" s="1"/>
      <c r="D10" s="3"/>
      <c r="E10" s="1"/>
      <c r="F10" s="1"/>
      <c r="G10" s="1"/>
    </row>
    <row r="11" spans="1:19" ht="15.75" customHeight="1">
      <c r="A11" s="1" t="s">
        <v>50</v>
      </c>
      <c r="B11" s="1" t="s">
        <v>51</v>
      </c>
      <c r="C11" s="1" t="s">
        <v>52</v>
      </c>
      <c r="D11" s="2">
        <v>0</v>
      </c>
      <c r="E11" s="1">
        <v>0</v>
      </c>
      <c r="F11" s="1">
        <v>1</v>
      </c>
      <c r="G11" s="1" t="s">
        <v>53</v>
      </c>
      <c r="H11" s="1">
        <v>1</v>
      </c>
      <c r="I11" s="1" t="s">
        <v>54</v>
      </c>
      <c r="J11" s="1" t="s">
        <v>32</v>
      </c>
      <c r="K11" s="1" t="s">
        <v>33</v>
      </c>
      <c r="L11" s="1" t="s">
        <v>55</v>
      </c>
      <c r="M11" s="1">
        <v>0</v>
      </c>
      <c r="N11" s="1">
        <v>700</v>
      </c>
      <c r="O11" s="1" t="s">
        <v>56</v>
      </c>
      <c r="P11" s="1">
        <v>1135</v>
      </c>
      <c r="Q11" s="1">
        <v>625</v>
      </c>
      <c r="R11" s="1" t="s">
        <v>57</v>
      </c>
    </row>
    <row r="12" spans="1:19" ht="15.75" customHeight="1">
      <c r="D12" s="3"/>
    </row>
    <row r="13" spans="1:19" ht="15.75" customHeight="1">
      <c r="A13" s="1" t="s">
        <v>58</v>
      </c>
      <c r="B13" s="1" t="s">
        <v>18</v>
      </c>
      <c r="C13" s="1" t="s">
        <v>52</v>
      </c>
      <c r="D13" s="2">
        <v>0</v>
      </c>
      <c r="E13" s="1">
        <v>0</v>
      </c>
      <c r="F13" s="1">
        <v>1</v>
      </c>
      <c r="G13" s="1" t="s">
        <v>59</v>
      </c>
      <c r="H13" s="1">
        <v>1</v>
      </c>
      <c r="I13" s="1" t="s">
        <v>60</v>
      </c>
      <c r="J13" s="1" t="s">
        <v>32</v>
      </c>
      <c r="K13" s="1" t="s">
        <v>33</v>
      </c>
      <c r="L13" s="1" t="s">
        <v>55</v>
      </c>
      <c r="M13" s="1">
        <v>0</v>
      </c>
      <c r="N13" s="1">
        <v>700</v>
      </c>
      <c r="O13" s="1"/>
      <c r="P13" s="1">
        <v>1135</v>
      </c>
      <c r="Q13" s="1">
        <v>625</v>
      </c>
      <c r="R13" s="1" t="s">
        <v>57</v>
      </c>
    </row>
    <row r="14" spans="1:19" ht="15.75" customHeight="1">
      <c r="D14" s="3"/>
    </row>
    <row r="15" spans="1:19" ht="15.75" customHeight="1">
      <c r="A15" s="1" t="s">
        <v>61</v>
      </c>
      <c r="B15" s="1" t="s">
        <v>36</v>
      </c>
      <c r="C15" s="1" t="s">
        <v>17</v>
      </c>
      <c r="D15" s="3">
        <v>1</v>
      </c>
      <c r="E15" s="1">
        <v>0</v>
      </c>
      <c r="F15" s="1">
        <v>0</v>
      </c>
      <c r="G15" s="1" t="s">
        <v>62</v>
      </c>
      <c r="H15" s="1">
        <v>3</v>
      </c>
      <c r="I15" s="1" t="s">
        <v>63</v>
      </c>
      <c r="J15" s="1" t="s">
        <v>32</v>
      </c>
      <c r="K15" s="1" t="s">
        <v>33</v>
      </c>
      <c r="L15" s="1" t="s">
        <v>55</v>
      </c>
      <c r="M15" s="1">
        <v>0</v>
      </c>
      <c r="N15" s="1">
        <v>700</v>
      </c>
      <c r="O15" s="1"/>
      <c r="P15" s="1">
        <v>917</v>
      </c>
      <c r="Q15" s="1">
        <v>625</v>
      </c>
    </row>
    <row r="16" spans="1:19" ht="15.75" customHeight="1">
      <c r="D16" s="3"/>
    </row>
    <row r="17" spans="1:19" ht="15.75" customHeight="1">
      <c r="A17" s="1" t="s">
        <v>64</v>
      </c>
      <c r="B17" s="1" t="s">
        <v>65</v>
      </c>
      <c r="C17" s="1" t="s">
        <v>52</v>
      </c>
      <c r="D17" s="2">
        <v>0</v>
      </c>
      <c r="E17" s="1">
        <v>0</v>
      </c>
      <c r="F17" s="1">
        <v>1</v>
      </c>
      <c r="G17" s="1" t="s">
        <v>66</v>
      </c>
      <c r="H17" s="1">
        <v>1</v>
      </c>
      <c r="I17" s="1" t="s">
        <v>67</v>
      </c>
      <c r="J17" s="1" t="s">
        <v>32</v>
      </c>
      <c r="K17" s="1" t="s">
        <v>33</v>
      </c>
      <c r="L17" s="1" t="s">
        <v>55</v>
      </c>
      <c r="M17" s="1">
        <v>0</v>
      </c>
      <c r="N17" s="1">
        <v>700</v>
      </c>
      <c r="O17" s="1"/>
      <c r="P17" s="1">
        <v>1135</v>
      </c>
      <c r="Q17" s="1">
        <v>625</v>
      </c>
    </row>
    <row r="18" spans="1:19" ht="15.75" customHeight="1">
      <c r="D18" s="3"/>
    </row>
    <row r="19" spans="1:19" ht="15.75" customHeight="1">
      <c r="A19" s="1" t="s">
        <v>68</v>
      </c>
      <c r="B19" s="1" t="s">
        <v>69</v>
      </c>
      <c r="C19" s="1" t="s">
        <v>36</v>
      </c>
      <c r="D19" s="2">
        <v>3</v>
      </c>
      <c r="E19" s="1">
        <v>1</v>
      </c>
      <c r="F19" s="1">
        <v>1</v>
      </c>
      <c r="G19" s="1" t="s">
        <v>70</v>
      </c>
      <c r="H19" s="1">
        <v>2</v>
      </c>
      <c r="I19" s="1" t="s">
        <v>20</v>
      </c>
      <c r="J19" s="1" t="s">
        <v>32</v>
      </c>
      <c r="K19" s="1" t="s">
        <v>33</v>
      </c>
      <c r="L19" s="1" t="s">
        <v>55</v>
      </c>
      <c r="M19" s="1">
        <v>0</v>
      </c>
      <c r="N19" s="1">
        <v>714.28570000000002</v>
      </c>
      <c r="O19" s="1" t="s">
        <v>71</v>
      </c>
      <c r="P19" s="1">
        <v>910</v>
      </c>
      <c r="Q19" s="1">
        <v>525</v>
      </c>
    </row>
    <row r="20" spans="1:19" ht="15.75" customHeight="1">
      <c r="D20" s="3"/>
    </row>
    <row r="21" spans="1:19" ht="15.75" customHeight="1">
      <c r="A21" s="1" t="s">
        <v>72</v>
      </c>
      <c r="B21" s="1" t="s">
        <v>73</v>
      </c>
      <c r="C21" s="1" t="s">
        <v>36</v>
      </c>
      <c r="D21" s="2">
        <v>4</v>
      </c>
      <c r="E21" s="1">
        <v>1</v>
      </c>
      <c r="F21" s="1">
        <v>1</v>
      </c>
      <c r="G21" s="1" t="s">
        <v>74</v>
      </c>
      <c r="H21" s="1">
        <v>0</v>
      </c>
      <c r="I21" s="1" t="s">
        <v>38</v>
      </c>
      <c r="J21" s="1" t="s">
        <v>21</v>
      </c>
      <c r="K21" s="1" t="s">
        <v>39</v>
      </c>
      <c r="L21" s="1" t="s">
        <v>40</v>
      </c>
      <c r="M21" s="1">
        <v>0</v>
      </c>
      <c r="N21" s="1">
        <v>700</v>
      </c>
      <c r="O21" s="1"/>
      <c r="P21" s="1">
        <v>858</v>
      </c>
      <c r="Q21" s="1">
        <v>525</v>
      </c>
      <c r="S21" s="1" t="s">
        <v>41</v>
      </c>
    </row>
    <row r="22" spans="1:19" ht="15.75" customHeight="1">
      <c r="A22" s="1" t="s">
        <v>75</v>
      </c>
      <c r="B22" s="1" t="s">
        <v>73</v>
      </c>
      <c r="C22" s="1" t="s">
        <v>43</v>
      </c>
      <c r="D22" s="3">
        <v>4</v>
      </c>
      <c r="E22" s="1">
        <v>1</v>
      </c>
      <c r="F22" s="1">
        <v>1</v>
      </c>
      <c r="G22" s="1" t="s">
        <v>76</v>
      </c>
      <c r="H22" s="1">
        <v>0</v>
      </c>
      <c r="I22" s="1" t="s">
        <v>45</v>
      </c>
      <c r="J22" s="1" t="s">
        <v>46</v>
      </c>
      <c r="K22" s="1" t="s">
        <v>47</v>
      </c>
      <c r="L22" s="1" t="s">
        <v>48</v>
      </c>
      <c r="M22" s="1">
        <v>0</v>
      </c>
      <c r="N22" s="1">
        <v>700</v>
      </c>
      <c r="O22" s="1"/>
      <c r="P22" s="1">
        <v>858</v>
      </c>
      <c r="Q22" s="1">
        <v>525</v>
      </c>
      <c r="S22" s="1" t="s">
        <v>49</v>
      </c>
    </row>
    <row r="23" spans="1:19" ht="15.75" customHeight="1">
      <c r="D23" s="3"/>
    </row>
    <row r="24" spans="1:19" ht="15.75" customHeight="1">
      <c r="A24" s="1" t="s">
        <v>77</v>
      </c>
      <c r="B24" s="1" t="s">
        <v>78</v>
      </c>
      <c r="C24" s="1" t="s">
        <v>36</v>
      </c>
      <c r="D24" s="2">
        <v>3</v>
      </c>
      <c r="E24" s="1">
        <v>1</v>
      </c>
      <c r="F24" s="1">
        <v>1</v>
      </c>
      <c r="G24" s="1" t="s">
        <v>79</v>
      </c>
      <c r="H24" s="1">
        <v>2</v>
      </c>
      <c r="I24" s="1" t="s">
        <v>54</v>
      </c>
      <c r="J24" s="1" t="s">
        <v>32</v>
      </c>
      <c r="K24" s="1" t="s">
        <v>33</v>
      </c>
      <c r="L24" s="1" t="s">
        <v>55</v>
      </c>
      <c r="M24" s="1">
        <v>0</v>
      </c>
      <c r="N24" s="1">
        <v>714.28570000000002</v>
      </c>
      <c r="O24" s="1" t="s">
        <v>80</v>
      </c>
      <c r="P24" s="1">
        <v>910</v>
      </c>
      <c r="Q24" s="1">
        <v>525</v>
      </c>
      <c r="R24" s="1" t="s">
        <v>81</v>
      </c>
    </row>
    <row r="25" spans="1:19" ht="15.75" customHeight="1">
      <c r="D25" s="3"/>
    </row>
    <row r="26" spans="1:19" ht="15.75" customHeight="1">
      <c r="A26" s="1" t="s">
        <v>82</v>
      </c>
      <c r="B26" s="1" t="s">
        <v>83</v>
      </c>
      <c r="C26" s="1" t="s">
        <v>36</v>
      </c>
      <c r="D26" s="2">
        <v>3</v>
      </c>
      <c r="E26" s="1">
        <v>1</v>
      </c>
      <c r="F26" s="1">
        <v>1</v>
      </c>
      <c r="G26" s="1" t="s">
        <v>84</v>
      </c>
      <c r="H26" s="1">
        <v>2</v>
      </c>
      <c r="I26" s="1" t="s">
        <v>60</v>
      </c>
      <c r="J26" s="1" t="s">
        <v>32</v>
      </c>
      <c r="K26" s="1" t="s">
        <v>33</v>
      </c>
      <c r="L26" s="1" t="s">
        <v>55</v>
      </c>
      <c r="M26" s="1">
        <v>0</v>
      </c>
      <c r="N26" s="1">
        <v>714.28570000000002</v>
      </c>
      <c r="P26" s="1">
        <v>910</v>
      </c>
      <c r="Q26" s="1">
        <v>525</v>
      </c>
      <c r="R26" s="1" t="s">
        <v>81</v>
      </c>
    </row>
    <row r="27" spans="1:19" ht="15.75" customHeight="1">
      <c r="D27" s="3"/>
    </row>
    <row r="28" spans="1:19" ht="15.75" customHeight="1">
      <c r="A28" s="1" t="s">
        <v>85</v>
      </c>
      <c r="B28" s="1" t="s">
        <v>86</v>
      </c>
      <c r="C28" s="1" t="s">
        <v>36</v>
      </c>
      <c r="D28" s="3">
        <v>2</v>
      </c>
      <c r="E28" s="1">
        <v>1</v>
      </c>
      <c r="F28" s="1">
        <v>1</v>
      </c>
      <c r="G28" s="1" t="s">
        <v>87</v>
      </c>
      <c r="H28" s="1">
        <v>4</v>
      </c>
      <c r="I28" s="1" t="s">
        <v>88</v>
      </c>
      <c r="J28" s="1" t="s">
        <v>32</v>
      </c>
      <c r="K28" s="1" t="s">
        <v>33</v>
      </c>
      <c r="L28" s="1" t="s">
        <v>55</v>
      </c>
      <c r="M28" s="1">
        <v>0</v>
      </c>
      <c r="N28" s="1">
        <v>714.28570000000002</v>
      </c>
      <c r="O28" s="1" t="s">
        <v>71</v>
      </c>
      <c r="P28" s="1">
        <v>909</v>
      </c>
      <c r="Q28" s="1">
        <v>525</v>
      </c>
    </row>
    <row r="29" spans="1:19" ht="15.75" customHeight="1">
      <c r="D29" s="3"/>
    </row>
    <row r="30" spans="1:19" ht="15.75" customHeight="1">
      <c r="A30" s="1" t="s">
        <v>89</v>
      </c>
      <c r="B30" s="1" t="s">
        <v>90</v>
      </c>
      <c r="C30" s="1" t="s">
        <v>52</v>
      </c>
      <c r="D30" s="3">
        <v>6</v>
      </c>
      <c r="E30" s="1">
        <v>1</v>
      </c>
      <c r="F30" s="1">
        <v>1</v>
      </c>
      <c r="G30" s="1" t="s">
        <v>91</v>
      </c>
      <c r="H30" s="1">
        <v>1</v>
      </c>
      <c r="I30" s="1" t="s">
        <v>92</v>
      </c>
      <c r="J30" s="1" t="s">
        <v>32</v>
      </c>
      <c r="K30" s="1" t="s">
        <v>33</v>
      </c>
      <c r="L30" s="1" t="s">
        <v>55</v>
      </c>
      <c r="M30" s="1">
        <v>0</v>
      </c>
      <c r="N30" s="1">
        <v>714.28570000000002</v>
      </c>
      <c r="O30" s="1" t="s">
        <v>71</v>
      </c>
      <c r="P30" s="1">
        <v>1126</v>
      </c>
      <c r="Q30" s="1">
        <v>525</v>
      </c>
    </row>
    <row r="31" spans="1:19" ht="15.75" customHeight="1">
      <c r="D31" s="3"/>
    </row>
    <row r="32" spans="1:19" ht="15.75" customHeight="1">
      <c r="A32" s="1" t="s">
        <v>93</v>
      </c>
      <c r="B32" s="1" t="s">
        <v>17</v>
      </c>
      <c r="C32" s="1" t="s">
        <v>36</v>
      </c>
      <c r="D32" s="3">
        <v>5</v>
      </c>
      <c r="E32" s="1">
        <v>0</v>
      </c>
      <c r="F32" s="1">
        <v>1</v>
      </c>
      <c r="G32" s="1" t="s">
        <v>94</v>
      </c>
      <c r="H32" s="1">
        <v>0</v>
      </c>
      <c r="I32" s="1" t="s">
        <v>95</v>
      </c>
      <c r="J32" s="1" t="s">
        <v>21</v>
      </c>
      <c r="K32" s="1" t="s">
        <v>96</v>
      </c>
      <c r="L32" s="1"/>
      <c r="M32" s="1">
        <v>0</v>
      </c>
      <c r="N32" s="1">
        <v>700</v>
      </c>
      <c r="O32" s="1"/>
      <c r="P32" s="1">
        <v>864</v>
      </c>
      <c r="Q32" s="1">
        <v>625</v>
      </c>
    </row>
    <row r="34" spans="1:18">
      <c r="E34" s="1">
        <v>2</v>
      </c>
      <c r="F34" s="1"/>
      <c r="G34" s="1" t="s">
        <v>97</v>
      </c>
      <c r="I34" s="1" t="s">
        <v>97</v>
      </c>
      <c r="Q34" s="1">
        <v>1250</v>
      </c>
    </row>
    <row r="35" spans="1:18">
      <c r="C35" s="1" t="s">
        <v>98</v>
      </c>
      <c r="E35" s="1"/>
      <c r="F35" s="1"/>
    </row>
    <row r="36" spans="1:18">
      <c r="C36" s="1" t="s">
        <v>99</v>
      </c>
      <c r="E36" s="1">
        <v>3</v>
      </c>
      <c r="F36" s="1"/>
      <c r="G36" s="1" t="s">
        <v>97</v>
      </c>
      <c r="I36" s="1" t="s">
        <v>97</v>
      </c>
      <c r="Q36" s="1">
        <v>1125</v>
      </c>
    </row>
    <row r="37" spans="1:18">
      <c r="E37" s="1"/>
      <c r="F37" s="1"/>
      <c r="G37" s="1"/>
      <c r="I37" s="1"/>
      <c r="Q37" s="1"/>
    </row>
    <row r="38" spans="1:18">
      <c r="E38" s="1">
        <v>4</v>
      </c>
      <c r="F38" s="1"/>
      <c r="G38" s="1" t="s">
        <v>97</v>
      </c>
      <c r="I38" s="1" t="s">
        <v>97</v>
      </c>
      <c r="Q38" s="1">
        <v>735</v>
      </c>
    </row>
    <row r="40" spans="1:18">
      <c r="E40" s="1">
        <v>5</v>
      </c>
      <c r="F40" s="1"/>
      <c r="G40" s="1" t="s">
        <v>97</v>
      </c>
      <c r="I40" s="1" t="s">
        <v>97</v>
      </c>
      <c r="Q40" s="1">
        <v>1050</v>
      </c>
    </row>
    <row r="42" spans="1:18">
      <c r="A42" s="1" t="s">
        <v>100</v>
      </c>
      <c r="B42" s="1" t="s">
        <v>101</v>
      </c>
      <c r="C42" s="1" t="s">
        <v>102</v>
      </c>
      <c r="E42" s="1"/>
      <c r="F42" s="1"/>
      <c r="G42" s="1" t="s">
        <v>103</v>
      </c>
      <c r="H42" s="1">
        <v>8</v>
      </c>
      <c r="I42" s="1" t="s">
        <v>104</v>
      </c>
      <c r="J42" s="1" t="s">
        <v>105</v>
      </c>
      <c r="K42" s="1" t="s">
        <v>105</v>
      </c>
      <c r="L42" s="1"/>
      <c r="M42" s="1" t="s">
        <v>105</v>
      </c>
      <c r="N42" s="1" t="s">
        <v>105</v>
      </c>
      <c r="O42" s="1"/>
      <c r="P42" s="1">
        <v>1280</v>
      </c>
      <c r="Q42" s="1">
        <v>405</v>
      </c>
      <c r="R42" s="1" t="s">
        <v>106</v>
      </c>
    </row>
    <row r="44" spans="1:18">
      <c r="B44" s="1" t="s">
        <v>107</v>
      </c>
      <c r="C44" s="1" t="s">
        <v>108</v>
      </c>
    </row>
    <row r="45" spans="1:18">
      <c r="B45" s="1" t="s">
        <v>109</v>
      </c>
      <c r="C45" s="1" t="s">
        <v>110</v>
      </c>
    </row>
    <row r="46" spans="1:18">
      <c r="B46" s="1" t="s">
        <v>111</v>
      </c>
    </row>
    <row r="47" spans="1:18">
      <c r="B47" s="1" t="s">
        <v>112</v>
      </c>
      <c r="C47" s="1" t="s">
        <v>113</v>
      </c>
    </row>
    <row r="48" spans="1:18">
      <c r="B48" s="1" t="s">
        <v>114</v>
      </c>
      <c r="C48" s="1" t="s">
        <v>115</v>
      </c>
    </row>
    <row r="49" spans="2:9">
      <c r="B49" s="1" t="s">
        <v>116</v>
      </c>
      <c r="C49" s="1" t="s">
        <v>117</v>
      </c>
    </row>
    <row r="50" spans="2:9">
      <c r="B50" s="1" t="s">
        <v>118</v>
      </c>
      <c r="C50" s="1" t="s">
        <v>119</v>
      </c>
    </row>
    <row r="51" spans="2:9">
      <c r="B51" s="1" t="s">
        <v>120</v>
      </c>
      <c r="I51" s="1" t="s">
        <v>121</v>
      </c>
    </row>
    <row r="52" spans="2:9">
      <c r="B52" s="1" t="s">
        <v>122</v>
      </c>
      <c r="C52" s="1" t="s">
        <v>123</v>
      </c>
    </row>
    <row r="53" spans="2:9">
      <c r="B53" s="1" t="s">
        <v>124</v>
      </c>
      <c r="C53" s="1" t="s">
        <v>125</v>
      </c>
    </row>
    <row r="54" spans="2:9">
      <c r="B54" s="1" t="s">
        <v>126</v>
      </c>
    </row>
    <row r="55" spans="2:9">
      <c r="B55" s="1" t="s">
        <v>127</v>
      </c>
      <c r="C55" s="1" t="s">
        <v>128</v>
      </c>
    </row>
    <row r="56" spans="2:9">
      <c r="B56" s="1" t="s">
        <v>129</v>
      </c>
    </row>
    <row r="57" spans="2:9">
      <c r="B57" s="1" t="s">
        <v>130</v>
      </c>
      <c r="C57" s="1" t="s">
        <v>131</v>
      </c>
    </row>
    <row r="58" spans="2:9">
      <c r="C58" s="1" t="s">
        <v>132</v>
      </c>
    </row>
    <row r="60" spans="2:9">
      <c r="B60" s="1" t="s">
        <v>133</v>
      </c>
      <c r="C60" s="1" t="s">
        <v>134</v>
      </c>
    </row>
    <row r="61" spans="2:9">
      <c r="B61" s="1" t="s">
        <v>135</v>
      </c>
      <c r="C61" s="1" t="s">
        <v>136</v>
      </c>
    </row>
    <row r="62" spans="2:9" ht="12.75">
      <c r="B62" s="1" t="s">
        <v>137</v>
      </c>
    </row>
    <row r="63" spans="2:9" ht="12.75">
      <c r="B63" s="1" t="s">
        <v>138</v>
      </c>
      <c r="C63" s="1" t="s">
        <v>139</v>
      </c>
    </row>
    <row r="64" spans="2:9" ht="12.75">
      <c r="B64" s="1" t="s">
        <v>140</v>
      </c>
      <c r="C64" s="1" t="s">
        <v>141</v>
      </c>
    </row>
    <row r="65" spans="2:8" ht="12.75">
      <c r="B65" s="1"/>
    </row>
    <row r="66" spans="2:8" ht="12.75">
      <c r="B66" s="1" t="s">
        <v>142</v>
      </c>
      <c r="C66" s="1" t="s">
        <v>143</v>
      </c>
      <c r="H66" s="1" t="s">
        <v>144</v>
      </c>
    </row>
    <row r="67" spans="2:8" ht="12.75">
      <c r="B67" s="1" t="s">
        <v>145</v>
      </c>
      <c r="C67" s="1" t="s">
        <v>146</v>
      </c>
    </row>
    <row r="68" spans="2:8" ht="12.75">
      <c r="B68" s="1" t="s">
        <v>147</v>
      </c>
    </row>
    <row r="69" spans="2:8" ht="12.75">
      <c r="B69" s="1" t="s">
        <v>148</v>
      </c>
      <c r="C69" s="1" t="s">
        <v>149</v>
      </c>
    </row>
    <row r="70" spans="2:8" ht="12.75">
      <c r="B70" s="1" t="s">
        <v>150</v>
      </c>
      <c r="C70" s="1" t="s">
        <v>151</v>
      </c>
    </row>
    <row r="71" spans="2:8" ht="12.75">
      <c r="B71" s="1" t="s">
        <v>152</v>
      </c>
      <c r="C71" s="1" t="s">
        <v>153</v>
      </c>
    </row>
    <row r="72" spans="2:8" ht="12.75">
      <c r="B72" s="1" t="s">
        <v>154</v>
      </c>
      <c r="C72" s="1" t="s">
        <v>155</v>
      </c>
    </row>
    <row r="73" spans="2:8" ht="12.75">
      <c r="B73" s="1" t="s">
        <v>156</v>
      </c>
    </row>
    <row r="76" spans="2:8" ht="12.75">
      <c r="B76" s="1" t="s">
        <v>157</v>
      </c>
    </row>
    <row r="77" spans="2:8" ht="12.75">
      <c r="B77" s="1"/>
      <c r="H77" s="1" t="s">
        <v>158</v>
      </c>
    </row>
    <row r="78" spans="2:8" ht="12.75">
      <c r="B78" s="1">
        <v>0</v>
      </c>
      <c r="C78" s="1">
        <v>1135</v>
      </c>
      <c r="D78" s="1" t="s">
        <v>159</v>
      </c>
      <c r="H78" s="1" t="s">
        <v>160</v>
      </c>
    </row>
    <row r="79" spans="2:8" ht="12.75">
      <c r="B79" s="1">
        <v>1</v>
      </c>
      <c r="C79" s="1">
        <v>917</v>
      </c>
      <c r="D79" s="1" t="s">
        <v>161</v>
      </c>
    </row>
    <row r="80" spans="2:8" ht="12.75">
      <c r="B80" s="1">
        <v>2</v>
      </c>
      <c r="C80" s="1">
        <v>909</v>
      </c>
      <c r="D80" s="1" t="s">
        <v>162</v>
      </c>
    </row>
    <row r="81" spans="2:8" ht="12.75">
      <c r="B81" s="1">
        <v>3</v>
      </c>
      <c r="C81" s="1">
        <v>910</v>
      </c>
      <c r="D81" s="1" t="s">
        <v>163</v>
      </c>
    </row>
    <row r="82" spans="2:8" ht="12.75">
      <c r="B82" s="1">
        <v>4</v>
      </c>
      <c r="C82" s="1">
        <v>858</v>
      </c>
      <c r="D82" s="1" t="s">
        <v>164</v>
      </c>
    </row>
    <row r="83" spans="2:8" ht="12.75">
      <c r="B83" s="1">
        <v>5</v>
      </c>
      <c r="C83" s="1">
        <v>864</v>
      </c>
      <c r="D83" s="1" t="s">
        <v>165</v>
      </c>
      <c r="H83" s="1" t="s">
        <v>166</v>
      </c>
    </row>
    <row r="84" spans="2:8" ht="12.75">
      <c r="B84" s="1">
        <v>6</v>
      </c>
      <c r="C84" s="1">
        <v>1126</v>
      </c>
      <c r="D84" s="1" t="s">
        <v>167</v>
      </c>
    </row>
    <row r="85" spans="2:8" ht="12.75">
      <c r="B85" s="1">
        <v>7</v>
      </c>
      <c r="C85" s="1">
        <v>560</v>
      </c>
      <c r="D85" s="1" t="s">
        <v>168</v>
      </c>
    </row>
    <row r="87" spans="2:8" ht="12.75">
      <c r="B87" s="1" t="s">
        <v>169</v>
      </c>
    </row>
    <row r="89" spans="2:8" ht="12.75">
      <c r="B89" s="1" t="s">
        <v>170</v>
      </c>
    </row>
    <row r="90" spans="2:8" ht="12.75">
      <c r="B90" s="1">
        <v>0</v>
      </c>
      <c r="C90" s="1">
        <v>625</v>
      </c>
    </row>
    <row r="91" spans="2:8" ht="12.75">
      <c r="B91" s="1">
        <v>1</v>
      </c>
      <c r="C91" s="1">
        <v>525</v>
      </c>
    </row>
    <row r="92" spans="2:8" ht="12.75">
      <c r="B92" s="1">
        <v>2</v>
      </c>
      <c r="C92" s="1">
        <v>1250</v>
      </c>
      <c r="D92" s="1" t="s">
        <v>171</v>
      </c>
    </row>
    <row r="93" spans="2:8" ht="12.75">
      <c r="B93" s="1">
        <v>3</v>
      </c>
      <c r="C93" s="1">
        <v>1125</v>
      </c>
      <c r="D93" s="1" t="s">
        <v>172</v>
      </c>
    </row>
    <row r="94" spans="2:8" ht="12.75">
      <c r="B94" s="1">
        <v>4</v>
      </c>
      <c r="C94" s="1">
        <v>735</v>
      </c>
      <c r="D94" s="1" t="s">
        <v>173</v>
      </c>
    </row>
    <row r="95" spans="2:8" ht="12.75">
      <c r="B95" s="1">
        <v>5</v>
      </c>
      <c r="C95" s="1">
        <v>1050</v>
      </c>
      <c r="D95" s="1" t="s">
        <v>174</v>
      </c>
    </row>
    <row r="98" spans="2:2" ht="12.75">
      <c r="B98" s="1" t="s">
        <v>175</v>
      </c>
    </row>
    <row r="101" spans="2:2" ht="12.75">
      <c r="B101" s="1" t="s">
        <v>176</v>
      </c>
    </row>
    <row r="102" spans="2:2" ht="12.75">
      <c r="B102" s="1" t="s">
        <v>455</v>
      </c>
    </row>
    <row r="103" spans="2:2" ht="12.75">
      <c r="B103" s="1" t="s">
        <v>177</v>
      </c>
    </row>
    <row r="104" spans="2:2" ht="12.75">
      <c r="B104" s="1" t="s">
        <v>178</v>
      </c>
    </row>
    <row r="105" spans="2:2" ht="12.75">
      <c r="B105" s="1" t="s">
        <v>179</v>
      </c>
    </row>
    <row r="106" spans="2:2" ht="15.75" customHeight="1">
      <c r="B106" s="1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2"/>
  <sheetViews>
    <sheetView workbookViewId="0"/>
  </sheetViews>
  <sheetFormatPr defaultColWidth="12.5703125" defaultRowHeight="15.75" customHeight="1"/>
  <sheetData>
    <row r="1" spans="1:15">
      <c r="A1" s="1" t="s">
        <v>180</v>
      </c>
    </row>
    <row r="2" spans="1:15">
      <c r="D2" s="1"/>
      <c r="E2" s="1" t="s">
        <v>181</v>
      </c>
      <c r="F2" s="1" t="s">
        <v>182</v>
      </c>
      <c r="G2" s="1" t="s">
        <v>183</v>
      </c>
      <c r="H2" s="1" t="s">
        <v>184</v>
      </c>
      <c r="I2" s="1" t="s">
        <v>185</v>
      </c>
      <c r="J2" s="1" t="s">
        <v>186</v>
      </c>
      <c r="K2" s="1" t="s">
        <v>187</v>
      </c>
      <c r="L2" s="1" t="s">
        <v>188</v>
      </c>
      <c r="M2" s="1" t="s">
        <v>189</v>
      </c>
      <c r="N2" s="1" t="s">
        <v>190</v>
      </c>
      <c r="O2" s="1" t="s">
        <v>191</v>
      </c>
    </row>
    <row r="3" spans="1:15">
      <c r="A3" s="1" t="s">
        <v>192</v>
      </c>
      <c r="D3" s="1"/>
      <c r="E3" s="1">
        <v>720</v>
      </c>
      <c r="G3" s="1">
        <v>735.5</v>
      </c>
      <c r="H3" s="1" t="s">
        <v>193</v>
      </c>
      <c r="I3" s="1">
        <v>828</v>
      </c>
      <c r="J3" s="1">
        <v>843</v>
      </c>
      <c r="K3" s="1">
        <v>857</v>
      </c>
      <c r="L3" s="1">
        <v>0</v>
      </c>
      <c r="O3" s="1">
        <v>719</v>
      </c>
    </row>
    <row r="4" spans="1:15">
      <c r="A4" s="1"/>
      <c r="D4" s="1"/>
      <c r="E4" s="1" t="s">
        <v>194</v>
      </c>
      <c r="G4" s="1">
        <v>0</v>
      </c>
      <c r="H4" s="1" t="s">
        <v>195</v>
      </c>
      <c r="J4" s="1"/>
      <c r="K4" s="1">
        <v>122</v>
      </c>
      <c r="L4" s="1">
        <v>123</v>
      </c>
      <c r="O4" s="1">
        <v>842</v>
      </c>
    </row>
    <row r="5" spans="1:15">
      <c r="A5" s="1" t="s">
        <v>196</v>
      </c>
      <c r="D5" s="1"/>
      <c r="E5" s="1">
        <v>720</v>
      </c>
      <c r="G5" s="1">
        <v>731.5</v>
      </c>
      <c r="H5" s="1" t="s">
        <v>197</v>
      </c>
      <c r="I5" s="1">
        <v>835</v>
      </c>
      <c r="J5" s="1">
        <v>849</v>
      </c>
      <c r="K5" s="1">
        <v>863</v>
      </c>
      <c r="L5" s="1">
        <v>0</v>
      </c>
      <c r="O5" s="1">
        <v>719</v>
      </c>
    </row>
    <row r="6" spans="1:15">
      <c r="D6" s="1"/>
      <c r="E6" s="1" t="s">
        <v>198</v>
      </c>
      <c r="G6" s="1">
        <v>0</v>
      </c>
      <c r="J6" s="1"/>
      <c r="K6" s="1">
        <v>132</v>
      </c>
      <c r="L6" s="1">
        <v>133</v>
      </c>
      <c r="O6" s="1">
        <v>854</v>
      </c>
    </row>
    <row r="8" spans="1:15">
      <c r="A8" s="1" t="s">
        <v>199</v>
      </c>
      <c r="D8" s="1"/>
      <c r="E8" s="1">
        <v>768</v>
      </c>
      <c r="G8" s="1" t="s">
        <v>200</v>
      </c>
      <c r="H8" s="1" t="s">
        <v>201</v>
      </c>
      <c r="I8" s="1" t="s">
        <v>202</v>
      </c>
      <c r="J8" s="1" t="s">
        <v>203</v>
      </c>
      <c r="K8" s="1">
        <v>909</v>
      </c>
      <c r="L8" s="1">
        <v>0</v>
      </c>
      <c r="O8" s="1">
        <v>767</v>
      </c>
    </row>
    <row r="9" spans="1:15">
      <c r="D9" s="1"/>
      <c r="E9" s="1" t="s">
        <v>204</v>
      </c>
      <c r="G9" s="1">
        <v>0</v>
      </c>
      <c r="H9" s="1" t="s">
        <v>205</v>
      </c>
      <c r="K9" s="1" t="s">
        <v>206</v>
      </c>
      <c r="L9" s="1" t="s">
        <v>207</v>
      </c>
      <c r="O9" s="1" t="s">
        <v>208</v>
      </c>
    </row>
    <row r="11" spans="1:15">
      <c r="A11" s="1" t="s">
        <v>209</v>
      </c>
      <c r="E11" s="1">
        <v>948</v>
      </c>
      <c r="G11" s="1">
        <v>957.5</v>
      </c>
      <c r="H11" s="1">
        <v>1040.8</v>
      </c>
      <c r="I11" s="1" t="s">
        <v>210</v>
      </c>
      <c r="J11" s="1" t="s">
        <v>211</v>
      </c>
      <c r="K11" s="1" t="s">
        <v>212</v>
      </c>
      <c r="L11" s="1">
        <v>0</v>
      </c>
      <c r="O11" s="1">
        <v>947</v>
      </c>
    </row>
    <row r="12" spans="1:15">
      <c r="G12" s="1">
        <v>0</v>
      </c>
      <c r="H12" s="1">
        <v>83.35</v>
      </c>
    </row>
    <row r="15" spans="1:15">
      <c r="A15" s="1">
        <v>405</v>
      </c>
      <c r="E15" s="1">
        <v>1054</v>
      </c>
      <c r="K15" s="1">
        <v>1279</v>
      </c>
      <c r="L15" s="1">
        <v>0</v>
      </c>
      <c r="O15" s="1">
        <v>1053</v>
      </c>
    </row>
    <row r="16" spans="1:15">
      <c r="E16" s="1" t="s">
        <v>213</v>
      </c>
      <c r="G16" s="1">
        <v>0</v>
      </c>
      <c r="H16" s="1" t="s">
        <v>214</v>
      </c>
      <c r="M16" s="1" t="s">
        <v>215</v>
      </c>
    </row>
    <row r="17" spans="5:13">
      <c r="E17" s="1" t="s">
        <v>216</v>
      </c>
      <c r="H17" s="1" t="s">
        <v>217</v>
      </c>
      <c r="M17" s="1" t="s">
        <v>218</v>
      </c>
    </row>
    <row r="20" spans="5:13">
      <c r="G20" s="1" t="s">
        <v>219</v>
      </c>
    </row>
    <row r="21" spans="5:13">
      <c r="G21" s="1" t="s">
        <v>220</v>
      </c>
    </row>
    <row r="22" spans="5:13">
      <c r="G22" s="1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5"/>
  <sheetViews>
    <sheetView workbookViewId="0"/>
  </sheetViews>
  <sheetFormatPr defaultColWidth="12.5703125" defaultRowHeight="15.75" customHeight="1"/>
  <cols>
    <col min="7" max="7" width="19.5703125" customWidth="1"/>
  </cols>
  <sheetData>
    <row r="1" spans="1:12">
      <c r="A1" s="1" t="s">
        <v>222</v>
      </c>
      <c r="B1" s="1" t="s">
        <v>4</v>
      </c>
    </row>
    <row r="2" spans="1:12">
      <c r="H2" s="1" t="s">
        <v>223</v>
      </c>
      <c r="I2" s="1" t="s">
        <v>224</v>
      </c>
      <c r="K2" s="1" t="s">
        <v>225</v>
      </c>
      <c r="L2" s="1" t="s">
        <v>226</v>
      </c>
    </row>
    <row r="3" spans="1:12">
      <c r="A3" s="1" t="s">
        <v>227</v>
      </c>
      <c r="B3" s="1" t="s">
        <v>18</v>
      </c>
      <c r="C3" s="1" t="e">
        <f t="shared" ref="C3:C5" si="0">HEX2BIN(B3,8)</f>
        <v>#NUM!</v>
      </c>
      <c r="D3" s="1" t="s">
        <v>19</v>
      </c>
      <c r="E3" s="1" t="s">
        <v>21</v>
      </c>
      <c r="F3" s="1" t="s">
        <v>22</v>
      </c>
      <c r="G3" s="1" t="s">
        <v>23</v>
      </c>
      <c r="H3" s="1" t="s">
        <v>228</v>
      </c>
      <c r="I3" s="1" t="s">
        <v>228</v>
      </c>
      <c r="K3" s="1">
        <v>1135</v>
      </c>
      <c r="L3" s="1" t="s">
        <v>229</v>
      </c>
    </row>
    <row r="4" spans="1:12">
      <c r="A4" s="1" t="s">
        <v>227</v>
      </c>
      <c r="B4" s="1" t="s">
        <v>25</v>
      </c>
      <c r="C4" s="1" t="e">
        <f t="shared" si="0"/>
        <v>#NUM!</v>
      </c>
      <c r="D4" s="1" t="s">
        <v>26</v>
      </c>
      <c r="E4" s="1" t="s">
        <v>21</v>
      </c>
      <c r="F4" s="1" t="s">
        <v>22</v>
      </c>
      <c r="G4" s="1" t="s">
        <v>23</v>
      </c>
      <c r="H4" s="1" t="s">
        <v>228</v>
      </c>
      <c r="I4" s="1" t="s">
        <v>230</v>
      </c>
      <c r="K4" s="1">
        <v>1135</v>
      </c>
      <c r="L4" s="1" t="s">
        <v>229</v>
      </c>
    </row>
    <row r="5" spans="1:12">
      <c r="A5" s="1" t="s">
        <v>227</v>
      </c>
      <c r="B5" s="1" t="s">
        <v>29</v>
      </c>
      <c r="C5" s="1" t="e">
        <f t="shared" si="0"/>
        <v>#NUM!</v>
      </c>
      <c r="D5" s="1" t="s">
        <v>30</v>
      </c>
      <c r="E5" s="1" t="s">
        <v>32</v>
      </c>
      <c r="F5" s="1" t="s">
        <v>33</v>
      </c>
      <c r="H5" s="1" t="s">
        <v>230</v>
      </c>
      <c r="I5" s="1" t="s">
        <v>228</v>
      </c>
      <c r="K5" s="1">
        <v>1135</v>
      </c>
      <c r="L5" s="1" t="s">
        <v>229</v>
      </c>
    </row>
    <row r="7" spans="1:12">
      <c r="A7" s="1" t="s">
        <v>227</v>
      </c>
      <c r="B7" s="1" t="s">
        <v>36</v>
      </c>
      <c r="C7" s="1" t="e">
        <f t="shared" ref="C7:C8" si="1">HEX2BIN(B7,8)</f>
        <v>#NUM!</v>
      </c>
      <c r="D7" s="1" t="s">
        <v>37</v>
      </c>
      <c r="E7" s="1" t="s">
        <v>21</v>
      </c>
      <c r="F7" s="1" t="s">
        <v>39</v>
      </c>
      <c r="G7" s="1" t="s">
        <v>40</v>
      </c>
      <c r="H7" s="1" t="s">
        <v>228</v>
      </c>
      <c r="I7" s="1" t="s">
        <v>228</v>
      </c>
      <c r="J7" s="1" t="s">
        <v>231</v>
      </c>
      <c r="K7" s="1">
        <v>864</v>
      </c>
      <c r="L7" s="1" t="s">
        <v>232</v>
      </c>
    </row>
    <row r="8" spans="1:12">
      <c r="A8" s="1" t="s">
        <v>227</v>
      </c>
      <c r="B8" s="1" t="s">
        <v>43</v>
      </c>
      <c r="C8" s="1" t="e">
        <f t="shared" si="1"/>
        <v>#NUM!</v>
      </c>
      <c r="D8" s="1" t="s">
        <v>44</v>
      </c>
      <c r="E8" s="1" t="s">
        <v>46</v>
      </c>
      <c r="F8" s="1" t="s">
        <v>47</v>
      </c>
      <c r="G8" s="1" t="s">
        <v>48</v>
      </c>
      <c r="H8" s="1" t="s">
        <v>228</v>
      </c>
      <c r="I8" s="1" t="s">
        <v>230</v>
      </c>
      <c r="K8" s="1">
        <v>864</v>
      </c>
      <c r="L8" s="1" t="s">
        <v>232</v>
      </c>
    </row>
    <row r="9" spans="1:12">
      <c r="B9" s="1"/>
      <c r="C9" s="1"/>
      <c r="D9" s="1"/>
    </row>
    <row r="10" spans="1:12">
      <c r="A10" s="1" t="s">
        <v>227</v>
      </c>
      <c r="B10" s="1" t="s">
        <v>52</v>
      </c>
      <c r="C10" s="1" t="e">
        <f>HEX2BIN(B10,8)</f>
        <v>#NUM!</v>
      </c>
      <c r="D10" s="1" t="s">
        <v>53</v>
      </c>
      <c r="E10" s="1" t="s">
        <v>32</v>
      </c>
      <c r="F10" s="1" t="s">
        <v>33</v>
      </c>
      <c r="G10" s="1" t="s">
        <v>55</v>
      </c>
      <c r="H10" s="1" t="s">
        <v>230</v>
      </c>
      <c r="I10" s="1" t="s">
        <v>228</v>
      </c>
      <c r="K10" s="1">
        <v>1135</v>
      </c>
      <c r="L10" s="1" t="s">
        <v>232</v>
      </c>
    </row>
    <row r="12" spans="1:12">
      <c r="A12" s="1" t="s">
        <v>227</v>
      </c>
      <c r="B12" s="1" t="s">
        <v>52</v>
      </c>
      <c r="C12" s="1" t="e">
        <f>HEX2BIN(B12,8)</f>
        <v>#NUM!</v>
      </c>
      <c r="D12" s="1" t="s">
        <v>59</v>
      </c>
      <c r="E12" s="1" t="s">
        <v>32</v>
      </c>
      <c r="F12" s="1" t="s">
        <v>33</v>
      </c>
      <c r="G12" s="1" t="s">
        <v>55</v>
      </c>
      <c r="H12" s="1" t="s">
        <v>230</v>
      </c>
      <c r="I12" s="1" t="s">
        <v>228</v>
      </c>
      <c r="K12" s="1">
        <v>1135</v>
      </c>
      <c r="L12" s="1" t="s">
        <v>232</v>
      </c>
    </row>
    <row r="14" spans="1:12">
      <c r="A14" s="1" t="s">
        <v>227</v>
      </c>
      <c r="B14" s="1" t="s">
        <v>17</v>
      </c>
      <c r="C14" s="1" t="e">
        <f>HEX2BIN(B14,8)</f>
        <v>#NUM!</v>
      </c>
      <c r="D14" s="1" t="s">
        <v>62</v>
      </c>
      <c r="E14" s="1" t="s">
        <v>32</v>
      </c>
      <c r="F14" s="1" t="s">
        <v>33</v>
      </c>
      <c r="G14" s="1" t="s">
        <v>55</v>
      </c>
      <c r="H14" s="1" t="s">
        <v>230</v>
      </c>
      <c r="I14" s="1" t="s">
        <v>228</v>
      </c>
      <c r="K14" s="1">
        <v>917</v>
      </c>
      <c r="L14" s="1" t="s">
        <v>229</v>
      </c>
    </row>
    <row r="16" spans="1:12">
      <c r="A16" s="1" t="s">
        <v>227</v>
      </c>
      <c r="B16" s="1" t="s">
        <v>52</v>
      </c>
      <c r="C16" s="1" t="e">
        <f>HEX2BIN(B16,8)</f>
        <v>#NUM!</v>
      </c>
      <c r="D16" s="1" t="s">
        <v>66</v>
      </c>
      <c r="E16" s="1" t="s">
        <v>32</v>
      </c>
      <c r="F16" s="1" t="s">
        <v>33</v>
      </c>
      <c r="G16" s="1" t="s">
        <v>55</v>
      </c>
      <c r="H16" s="1" t="s">
        <v>230</v>
      </c>
      <c r="I16" s="1" t="s">
        <v>228</v>
      </c>
      <c r="K16" s="1">
        <v>1135</v>
      </c>
      <c r="L16" s="1" t="s">
        <v>232</v>
      </c>
    </row>
    <row r="18" spans="1:12">
      <c r="A18" s="1" t="s">
        <v>227</v>
      </c>
      <c r="B18" s="1" t="s">
        <v>36</v>
      </c>
      <c r="C18" s="1" t="e">
        <f>HEX2BIN(B18,8)</f>
        <v>#NUM!</v>
      </c>
      <c r="D18" s="1" t="s">
        <v>70</v>
      </c>
      <c r="E18" s="1" t="s">
        <v>32</v>
      </c>
      <c r="F18" s="1" t="s">
        <v>33</v>
      </c>
      <c r="G18" s="1" t="s">
        <v>55</v>
      </c>
      <c r="H18" s="1" t="s">
        <v>230</v>
      </c>
      <c r="I18" s="1" t="s">
        <v>228</v>
      </c>
      <c r="K18" s="1">
        <v>910</v>
      </c>
      <c r="L18" s="1" t="s">
        <v>232</v>
      </c>
    </row>
    <row r="20" spans="1:12">
      <c r="A20" s="1" t="s">
        <v>227</v>
      </c>
      <c r="B20" s="1" t="s">
        <v>36</v>
      </c>
      <c r="C20" s="1" t="e">
        <f t="shared" ref="C20:C21" si="2">HEX2BIN(B20,8)</f>
        <v>#NUM!</v>
      </c>
      <c r="D20" s="1" t="s">
        <v>74</v>
      </c>
      <c r="E20" s="1" t="s">
        <v>21</v>
      </c>
      <c r="F20" s="1" t="s">
        <v>39</v>
      </c>
      <c r="G20" s="1" t="s">
        <v>40</v>
      </c>
      <c r="H20" s="1" t="s">
        <v>228</v>
      </c>
      <c r="I20" s="1" t="s">
        <v>228</v>
      </c>
      <c r="J20" s="1" t="s">
        <v>231</v>
      </c>
      <c r="K20" s="1">
        <v>858</v>
      </c>
      <c r="L20" s="1" t="s">
        <v>232</v>
      </c>
    </row>
    <row r="21" spans="1:12">
      <c r="A21" s="1" t="s">
        <v>227</v>
      </c>
      <c r="B21" s="1" t="s">
        <v>43</v>
      </c>
      <c r="C21" s="1" t="e">
        <f t="shared" si="2"/>
        <v>#NUM!</v>
      </c>
      <c r="D21" s="1" t="s">
        <v>76</v>
      </c>
      <c r="E21" s="1" t="s">
        <v>46</v>
      </c>
      <c r="F21" s="1" t="s">
        <v>47</v>
      </c>
      <c r="G21" s="1" t="s">
        <v>48</v>
      </c>
      <c r="H21" s="1" t="s">
        <v>228</v>
      </c>
      <c r="I21" s="1" t="s">
        <v>230</v>
      </c>
      <c r="K21" s="1">
        <v>858</v>
      </c>
      <c r="L21" s="1" t="s">
        <v>232</v>
      </c>
    </row>
    <row r="23" spans="1:12">
      <c r="A23" s="1" t="s">
        <v>227</v>
      </c>
      <c r="B23" s="1" t="s">
        <v>36</v>
      </c>
      <c r="C23" s="1" t="e">
        <f>HEX2BIN(B23,8)</f>
        <v>#NUM!</v>
      </c>
      <c r="D23" s="1" t="s">
        <v>79</v>
      </c>
      <c r="E23" s="1" t="s">
        <v>32</v>
      </c>
      <c r="F23" s="1" t="s">
        <v>33</v>
      </c>
      <c r="G23" s="1" t="s">
        <v>55</v>
      </c>
      <c r="H23" s="1" t="s">
        <v>230</v>
      </c>
      <c r="I23" s="1" t="s">
        <v>228</v>
      </c>
      <c r="K23" s="1">
        <v>910</v>
      </c>
      <c r="L23" s="1" t="s">
        <v>232</v>
      </c>
    </row>
    <row r="25" spans="1:12">
      <c r="A25" s="1" t="s">
        <v>227</v>
      </c>
      <c r="B25" s="1" t="s">
        <v>36</v>
      </c>
      <c r="C25" s="1" t="e">
        <f>HEX2BIN(B25,8)</f>
        <v>#NUM!</v>
      </c>
      <c r="D25" s="1" t="s">
        <v>84</v>
      </c>
      <c r="E25" s="1" t="s">
        <v>32</v>
      </c>
      <c r="F25" s="1" t="s">
        <v>33</v>
      </c>
      <c r="G25" s="1" t="s">
        <v>55</v>
      </c>
      <c r="H25" s="1" t="s">
        <v>230</v>
      </c>
      <c r="I25" s="1" t="s">
        <v>228</v>
      </c>
      <c r="K25" s="1">
        <v>910</v>
      </c>
      <c r="L25" s="1" t="s">
        <v>232</v>
      </c>
    </row>
    <row r="27" spans="1:12">
      <c r="A27" s="1" t="s">
        <v>227</v>
      </c>
      <c r="B27" s="1" t="s">
        <v>36</v>
      </c>
      <c r="C27" s="1" t="e">
        <f>HEX2BIN(B27,8)</f>
        <v>#NUM!</v>
      </c>
      <c r="D27" s="1" t="s">
        <v>87</v>
      </c>
      <c r="E27" s="1" t="s">
        <v>32</v>
      </c>
      <c r="F27" s="1" t="s">
        <v>33</v>
      </c>
      <c r="G27" s="1" t="s">
        <v>55</v>
      </c>
      <c r="H27" s="1" t="s">
        <v>230</v>
      </c>
      <c r="I27" s="1" t="s">
        <v>228</v>
      </c>
      <c r="K27" s="1">
        <v>909</v>
      </c>
      <c r="L27" s="1" t="s">
        <v>232</v>
      </c>
    </row>
    <row r="29" spans="1:12">
      <c r="A29" s="1" t="s">
        <v>227</v>
      </c>
      <c r="B29" s="1" t="s">
        <v>52</v>
      </c>
      <c r="C29" s="1" t="e">
        <f>HEX2BIN(B29,8)</f>
        <v>#NUM!</v>
      </c>
      <c r="D29" s="1" t="s">
        <v>91</v>
      </c>
      <c r="E29" s="1" t="s">
        <v>32</v>
      </c>
      <c r="F29" s="1" t="s">
        <v>33</v>
      </c>
      <c r="G29" s="1" t="s">
        <v>55</v>
      </c>
      <c r="H29" s="1" t="s">
        <v>230</v>
      </c>
      <c r="I29" s="1" t="s">
        <v>228</v>
      </c>
      <c r="K29" s="1">
        <v>1126</v>
      </c>
      <c r="L29" s="1" t="s">
        <v>232</v>
      </c>
    </row>
    <row r="31" spans="1:12">
      <c r="A31" s="1" t="s">
        <v>227</v>
      </c>
      <c r="B31" s="1" t="s">
        <v>36</v>
      </c>
      <c r="C31" s="1" t="e">
        <f>HEX2BIN(B31,8)</f>
        <v>#NUM!</v>
      </c>
      <c r="D31" s="1" t="s">
        <v>94</v>
      </c>
      <c r="E31" s="1" t="s">
        <v>21</v>
      </c>
      <c r="F31" s="1" t="s">
        <v>96</v>
      </c>
      <c r="G31" s="1"/>
      <c r="H31" s="1" t="s">
        <v>230</v>
      </c>
      <c r="I31" s="1" t="s">
        <v>228</v>
      </c>
      <c r="K31" s="1">
        <v>864</v>
      </c>
      <c r="L31" s="1" t="s">
        <v>232</v>
      </c>
    </row>
    <row r="33" spans="1:12">
      <c r="A33" s="1" t="s">
        <v>233</v>
      </c>
      <c r="B33" s="1" t="s">
        <v>234</v>
      </c>
      <c r="C33" s="1" t="e">
        <f t="shared" ref="C33:C34" si="3">HEX2BIN(B33,8)</f>
        <v>#NUM!</v>
      </c>
      <c r="D33" s="1">
        <v>405</v>
      </c>
      <c r="H33" s="1" t="s">
        <v>230</v>
      </c>
      <c r="I33" s="1" t="s">
        <v>228</v>
      </c>
      <c r="L33" s="1" t="s">
        <v>232</v>
      </c>
    </row>
    <row r="34" spans="1:12">
      <c r="A34" s="1" t="s">
        <v>235</v>
      </c>
      <c r="B34" s="1" t="s">
        <v>36</v>
      </c>
      <c r="C34" s="1" t="e">
        <f t="shared" si="3"/>
        <v>#NUM!</v>
      </c>
      <c r="D34" s="1">
        <v>405</v>
      </c>
    </row>
    <row r="36" spans="1:12">
      <c r="B36" s="1" t="s">
        <v>236</v>
      </c>
    </row>
    <row r="37" spans="1:12">
      <c r="B37" s="1" t="s">
        <v>237</v>
      </c>
      <c r="C37" s="1" t="s">
        <v>238</v>
      </c>
    </row>
    <row r="38" spans="1:12">
      <c r="B38" s="1" t="s">
        <v>239</v>
      </c>
      <c r="C38" s="1" t="s">
        <v>240</v>
      </c>
    </row>
    <row r="39" spans="1:12">
      <c r="B39" s="1" t="s">
        <v>241</v>
      </c>
      <c r="C39" s="1" t="s">
        <v>242</v>
      </c>
    </row>
    <row r="40" spans="1:12">
      <c r="C40" s="1" t="s">
        <v>243</v>
      </c>
    </row>
    <row r="41" spans="1:12">
      <c r="B41" s="1" t="s">
        <v>244</v>
      </c>
      <c r="C41" s="1" t="s">
        <v>245</v>
      </c>
      <c r="H41" s="1" t="s">
        <v>246</v>
      </c>
    </row>
    <row r="42" spans="1:12">
      <c r="C42" s="1" t="s">
        <v>247</v>
      </c>
    </row>
    <row r="44" spans="1:12">
      <c r="B44" s="1" t="s">
        <v>248</v>
      </c>
    </row>
    <row r="45" spans="1:12">
      <c r="B45" s="1" t="s">
        <v>249</v>
      </c>
      <c r="C45" s="1" t="s">
        <v>250</v>
      </c>
    </row>
    <row r="46" spans="1:12">
      <c r="B46" s="1" t="s">
        <v>251</v>
      </c>
      <c r="C46" s="1" t="s">
        <v>252</v>
      </c>
      <c r="K46" s="1" t="s">
        <v>253</v>
      </c>
    </row>
    <row r="47" spans="1:12">
      <c r="C47" s="1" t="s">
        <v>254</v>
      </c>
      <c r="K47" s="1" t="s">
        <v>255</v>
      </c>
    </row>
    <row r="48" spans="1:12">
      <c r="B48" s="1" t="s">
        <v>256</v>
      </c>
      <c r="C48" s="1" t="s">
        <v>240</v>
      </c>
    </row>
    <row r="49" spans="2:3">
      <c r="B49" s="1" t="s">
        <v>257</v>
      </c>
      <c r="C49" s="1" t="s">
        <v>258</v>
      </c>
    </row>
    <row r="51" spans="2:3">
      <c r="C51" s="1" t="s">
        <v>259</v>
      </c>
    </row>
    <row r="54" spans="2:3">
      <c r="B54" s="1" t="s">
        <v>260</v>
      </c>
    </row>
    <row r="55" spans="2:3">
      <c r="B55" s="1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38"/>
  <sheetViews>
    <sheetView workbookViewId="0"/>
  </sheetViews>
  <sheetFormatPr defaultColWidth="12.5703125" defaultRowHeight="15.75" customHeight="1"/>
  <sheetData>
    <row r="1" spans="1:4">
      <c r="A1" s="1"/>
    </row>
    <row r="2" spans="1:4">
      <c r="A2" s="1" t="s">
        <v>262</v>
      </c>
    </row>
    <row r="3" spans="1:4">
      <c r="A3" s="1" t="s">
        <v>263</v>
      </c>
      <c r="D3" s="1" t="s">
        <v>264</v>
      </c>
    </row>
    <row r="4" spans="1:4">
      <c r="A4" s="1" t="s">
        <v>265</v>
      </c>
    </row>
    <row r="5" spans="1:4">
      <c r="A5" s="1" t="s">
        <v>266</v>
      </c>
    </row>
    <row r="6" spans="1:4">
      <c r="A6" s="1" t="s">
        <v>267</v>
      </c>
    </row>
    <row r="7" spans="1:4">
      <c r="A7" s="1" t="s">
        <v>268</v>
      </c>
      <c r="D7" s="1" t="s">
        <v>264</v>
      </c>
    </row>
    <row r="8" spans="1:4">
      <c r="A8" s="1" t="s">
        <v>269</v>
      </c>
    </row>
    <row r="9" spans="1:4">
      <c r="A9" s="1" t="s">
        <v>270</v>
      </c>
    </row>
    <row r="10" spans="1:4">
      <c r="A10" s="1" t="s">
        <v>271</v>
      </c>
    </row>
    <row r="11" spans="1:4">
      <c r="A11" s="1" t="s">
        <v>272</v>
      </c>
    </row>
    <row r="12" spans="1:4">
      <c r="A12" s="1" t="s">
        <v>273</v>
      </c>
    </row>
    <row r="13" spans="1:4">
      <c r="A13" s="1" t="s">
        <v>274</v>
      </c>
    </row>
    <row r="14" spans="1:4">
      <c r="A14" s="1" t="s">
        <v>275</v>
      </c>
    </row>
    <row r="15" spans="1:4">
      <c r="A15" s="1" t="s">
        <v>276</v>
      </c>
    </row>
    <row r="16" spans="1:4">
      <c r="A16" s="1" t="s">
        <v>277</v>
      </c>
    </row>
    <row r="17" spans="1:18">
      <c r="A17" s="1" t="s">
        <v>278</v>
      </c>
    </row>
    <row r="18" spans="1:18">
      <c r="A18" s="1" t="s">
        <v>279</v>
      </c>
    </row>
    <row r="19" spans="1:18">
      <c r="A19" s="1" t="s">
        <v>280</v>
      </c>
    </row>
    <row r="20" spans="1:18">
      <c r="A20" s="1" t="s">
        <v>281</v>
      </c>
    </row>
    <row r="21" spans="1:18">
      <c r="A21" s="1" t="s">
        <v>282</v>
      </c>
    </row>
    <row r="22" spans="1:18">
      <c r="A22" s="1" t="s">
        <v>283</v>
      </c>
    </row>
    <row r="23" spans="1:18">
      <c r="A23" s="1" t="s">
        <v>284</v>
      </c>
    </row>
    <row r="24" spans="1:18">
      <c r="A24" s="1" t="s">
        <v>285</v>
      </c>
    </row>
    <row r="25" spans="1:18">
      <c r="A25" s="1" t="s">
        <v>286</v>
      </c>
    </row>
    <row r="27" spans="1:18">
      <c r="D27" s="1" t="s">
        <v>287</v>
      </c>
    </row>
    <row r="30" spans="1:18">
      <c r="B30" s="1" t="s">
        <v>288</v>
      </c>
      <c r="C30" s="1" t="s">
        <v>289</v>
      </c>
      <c r="G30" s="1" t="s">
        <v>290</v>
      </c>
      <c r="H30" s="1" t="s">
        <v>291</v>
      </c>
      <c r="I30" s="1"/>
      <c r="J30" s="1" t="s">
        <v>292</v>
      </c>
      <c r="K30" s="1"/>
      <c r="L30" s="1" t="s">
        <v>293</v>
      </c>
      <c r="N30" s="1" t="s">
        <v>294</v>
      </c>
      <c r="P30" s="1" t="s">
        <v>295</v>
      </c>
      <c r="R30" s="1" t="s">
        <v>296</v>
      </c>
    </row>
    <row r="31" spans="1:18">
      <c r="B31" s="1" t="s">
        <v>297</v>
      </c>
      <c r="G31" s="1" t="s">
        <v>298</v>
      </c>
      <c r="H31" s="1" t="s">
        <v>299</v>
      </c>
      <c r="J31" s="1" t="s">
        <v>299</v>
      </c>
      <c r="L31" s="1" t="s">
        <v>299</v>
      </c>
      <c r="N31" s="1" t="s">
        <v>83</v>
      </c>
      <c r="P31" s="1" t="s">
        <v>83</v>
      </c>
      <c r="R31" s="1" t="s">
        <v>83</v>
      </c>
    </row>
    <row r="32" spans="1:18">
      <c r="B32" s="1" t="s">
        <v>300</v>
      </c>
      <c r="G32" s="1" t="s">
        <v>301</v>
      </c>
      <c r="H32" s="1" t="s">
        <v>83</v>
      </c>
      <c r="J32" s="1" t="s">
        <v>83</v>
      </c>
      <c r="L32" s="1" t="s">
        <v>83</v>
      </c>
    </row>
    <row r="33" spans="1:12">
      <c r="A33" s="1" t="s">
        <v>302</v>
      </c>
      <c r="B33" s="1" t="s">
        <v>303</v>
      </c>
      <c r="G33" s="1" t="s">
        <v>304</v>
      </c>
      <c r="H33" s="1" t="s">
        <v>83</v>
      </c>
      <c r="J33" s="1" t="s">
        <v>83</v>
      </c>
      <c r="L33" s="1" t="s">
        <v>83</v>
      </c>
    </row>
    <row r="34" spans="1:12">
      <c r="A34" s="1" t="s">
        <v>305</v>
      </c>
      <c r="B34" s="1" t="s">
        <v>306</v>
      </c>
      <c r="C34" s="1">
        <v>405</v>
      </c>
      <c r="G34" s="1" t="s">
        <v>307</v>
      </c>
      <c r="H34" s="1" t="s">
        <v>83</v>
      </c>
      <c r="J34" s="1" t="s">
        <v>83</v>
      </c>
      <c r="L34" s="1" t="s">
        <v>83</v>
      </c>
    </row>
    <row r="35" spans="1:12">
      <c r="A35" s="1" t="s">
        <v>308</v>
      </c>
      <c r="B35" s="1" t="s">
        <v>309</v>
      </c>
      <c r="C35" s="1">
        <v>1280</v>
      </c>
      <c r="G35" s="1" t="s">
        <v>310</v>
      </c>
      <c r="H35" s="1" t="s">
        <v>83</v>
      </c>
      <c r="J35" s="1" t="s">
        <v>83</v>
      </c>
      <c r="L35" s="1" t="s">
        <v>83</v>
      </c>
    </row>
    <row r="36" spans="1:12">
      <c r="A36" s="1" t="s">
        <v>311</v>
      </c>
      <c r="B36" s="1" t="s">
        <v>312</v>
      </c>
      <c r="C36" s="1">
        <v>65536</v>
      </c>
      <c r="G36" s="1" t="s">
        <v>313</v>
      </c>
      <c r="H36" s="1" t="s">
        <v>83</v>
      </c>
      <c r="J36" s="1" t="s">
        <v>83</v>
      </c>
      <c r="L36" s="1" t="s">
        <v>83</v>
      </c>
    </row>
    <row r="37" spans="1:12">
      <c r="A37" s="1" t="s">
        <v>314</v>
      </c>
      <c r="B37" s="1" t="s">
        <v>234</v>
      </c>
      <c r="C37" s="1" t="e">
        <f t="shared" ref="C37:C38" si="0">HEX2BIN(B37,8)</f>
        <v>#NUM!</v>
      </c>
      <c r="D37" s="1" t="s">
        <v>233</v>
      </c>
    </row>
    <row r="38" spans="1:12">
      <c r="B38" s="1" t="s">
        <v>36</v>
      </c>
      <c r="C38" s="1" t="e">
        <f t="shared" si="0"/>
        <v>#NUM!</v>
      </c>
      <c r="D38" s="1" t="s">
        <v>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44"/>
  <sheetViews>
    <sheetView workbookViewId="0"/>
  </sheetViews>
  <sheetFormatPr defaultColWidth="12.5703125" defaultRowHeight="15.75" customHeight="1"/>
  <cols>
    <col min="1" max="1" width="21.140625" customWidth="1"/>
    <col min="2" max="2" width="10" customWidth="1"/>
    <col min="3" max="3" width="6.140625" customWidth="1"/>
    <col min="4" max="4" width="9.28515625" customWidth="1"/>
    <col min="5" max="5" width="7" customWidth="1"/>
    <col min="6" max="6" width="6.85546875" customWidth="1"/>
    <col min="7" max="7" width="8.5703125" customWidth="1"/>
    <col min="8" max="8" width="9.85546875" customWidth="1"/>
    <col min="12" max="12" width="6.42578125" customWidth="1"/>
    <col min="15" max="15" width="6.7109375" customWidth="1"/>
    <col min="16" max="16" width="4.28515625" customWidth="1"/>
    <col min="17" max="18" width="4.85546875" customWidth="1"/>
    <col min="19" max="20" width="6" customWidth="1"/>
    <col min="21" max="21" width="7.7109375" customWidth="1"/>
    <col min="25" max="25" width="6.85546875" customWidth="1"/>
    <col min="26" max="26" width="8.42578125" customWidth="1"/>
  </cols>
  <sheetData>
    <row r="1" spans="1:29">
      <c r="B1" s="1" t="s">
        <v>316</v>
      </c>
      <c r="C1" s="1" t="s">
        <v>317</v>
      </c>
      <c r="D1" s="1" t="s">
        <v>316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M1" s="1" t="s">
        <v>325</v>
      </c>
      <c r="N1" s="1" t="s">
        <v>326</v>
      </c>
      <c r="O1" s="1" t="s">
        <v>327</v>
      </c>
      <c r="P1" s="1"/>
      <c r="Q1" s="1" t="s">
        <v>328</v>
      </c>
      <c r="R1" s="1"/>
      <c r="S1" s="1" t="s">
        <v>329</v>
      </c>
      <c r="T1" s="1"/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</row>
    <row r="2" spans="1:29">
      <c r="O2" s="1" t="s">
        <v>337</v>
      </c>
      <c r="P2" s="1" t="s">
        <v>338</v>
      </c>
      <c r="Q2" s="1" t="s">
        <v>339</v>
      </c>
      <c r="R2" s="1" t="s">
        <v>338</v>
      </c>
      <c r="S2" s="1" t="s">
        <v>339</v>
      </c>
      <c r="T2" s="1" t="s">
        <v>338</v>
      </c>
      <c r="X2" s="1" t="s">
        <v>340</v>
      </c>
    </row>
    <row r="3" spans="1:29">
      <c r="A3" s="1" t="s">
        <v>341</v>
      </c>
      <c r="B3" s="1">
        <v>1050</v>
      </c>
      <c r="D3" s="1">
        <v>1050</v>
      </c>
      <c r="E3" s="1">
        <v>968</v>
      </c>
      <c r="F3" s="1">
        <v>22</v>
      </c>
      <c r="G3" s="1">
        <v>600</v>
      </c>
      <c r="H3" s="1">
        <v>480</v>
      </c>
      <c r="I3" s="1">
        <v>31.777999999999999</v>
      </c>
      <c r="K3" s="1" t="s">
        <v>342</v>
      </c>
      <c r="N3" s="1" t="s">
        <v>343</v>
      </c>
      <c r="O3" s="1">
        <v>60</v>
      </c>
      <c r="P3" s="4" t="str">
        <f t="shared" ref="P3:P8" si="0">DEC2HEX(O3*4)</f>
        <v>F0</v>
      </c>
      <c r="Q3" s="1">
        <v>60</v>
      </c>
      <c r="R3" s="4" t="str">
        <f t="shared" ref="R3:R8" si="1">DEC2HEX(Q3*4)</f>
        <v>F0</v>
      </c>
      <c r="S3" s="1">
        <v>200</v>
      </c>
      <c r="T3" s="4" t="str">
        <f t="shared" ref="T3:T8" si="2">DEC2HEX(S3*4)</f>
        <v>320</v>
      </c>
      <c r="U3" s="1">
        <v>0</v>
      </c>
      <c r="V3" s="1" t="s">
        <v>344</v>
      </c>
      <c r="W3" s="1" t="s">
        <v>345</v>
      </c>
      <c r="X3" s="1"/>
      <c r="Y3" s="1"/>
      <c r="Z3" s="1">
        <v>10</v>
      </c>
      <c r="AA3" s="1" t="s">
        <v>346</v>
      </c>
    </row>
    <row r="4" spans="1:29">
      <c r="A4" s="1" t="s">
        <v>347</v>
      </c>
      <c r="B4" s="1">
        <v>1125</v>
      </c>
      <c r="D4" s="1">
        <v>1125</v>
      </c>
      <c r="E4" s="1">
        <v>1080</v>
      </c>
      <c r="F4" s="1">
        <v>22</v>
      </c>
      <c r="G4" s="1">
        <v>2200</v>
      </c>
      <c r="H4" s="1">
        <v>1920</v>
      </c>
      <c r="I4" s="1">
        <v>29.6296</v>
      </c>
      <c r="K4" s="1" t="s">
        <v>348</v>
      </c>
      <c r="M4" s="1" t="s">
        <v>349</v>
      </c>
      <c r="N4" s="1" t="s">
        <v>350</v>
      </c>
      <c r="O4" s="1">
        <v>60</v>
      </c>
      <c r="P4" s="4" t="str">
        <f t="shared" si="0"/>
        <v>F0</v>
      </c>
      <c r="Q4" s="1">
        <v>60</v>
      </c>
      <c r="R4" s="4" t="str">
        <f t="shared" si="1"/>
        <v>F0</v>
      </c>
      <c r="S4" s="1">
        <v>200</v>
      </c>
      <c r="T4" s="4" t="str">
        <f t="shared" si="2"/>
        <v>320</v>
      </c>
      <c r="U4" s="1" t="s">
        <v>351</v>
      </c>
      <c r="V4" s="1" t="s">
        <v>352</v>
      </c>
      <c r="W4" s="1" t="s">
        <v>353</v>
      </c>
      <c r="X4" s="1"/>
      <c r="Y4" s="1"/>
      <c r="Z4" s="1">
        <v>10</v>
      </c>
      <c r="AA4" s="1" t="s">
        <v>346</v>
      </c>
      <c r="AB4" s="1" t="s">
        <v>354</v>
      </c>
    </row>
    <row r="5" spans="1:29">
      <c r="A5" s="1" t="s">
        <v>355</v>
      </c>
      <c r="B5" s="1">
        <v>1125</v>
      </c>
      <c r="C5" s="1">
        <v>59.94</v>
      </c>
      <c r="D5" s="1">
        <v>1125</v>
      </c>
      <c r="E5" s="1">
        <v>1035</v>
      </c>
      <c r="F5" s="1">
        <v>22</v>
      </c>
      <c r="G5" s="1">
        <v>560</v>
      </c>
      <c r="H5" s="1">
        <v>471</v>
      </c>
      <c r="I5" s="1">
        <v>29.658999999999999</v>
      </c>
      <c r="K5" s="1" t="s">
        <v>342</v>
      </c>
      <c r="N5" s="1" t="s">
        <v>343</v>
      </c>
      <c r="O5" s="1">
        <v>60</v>
      </c>
      <c r="P5" s="4" t="str">
        <f t="shared" si="0"/>
        <v>F0</v>
      </c>
      <c r="Q5" s="1">
        <v>60</v>
      </c>
      <c r="R5" s="4" t="str">
        <f t="shared" si="1"/>
        <v>F0</v>
      </c>
      <c r="S5" s="1">
        <v>200</v>
      </c>
      <c r="T5" s="4" t="str">
        <f t="shared" si="2"/>
        <v>320</v>
      </c>
      <c r="U5" s="1">
        <v>0</v>
      </c>
      <c r="V5" s="1" t="s">
        <v>344</v>
      </c>
      <c r="W5" s="1" t="s">
        <v>356</v>
      </c>
      <c r="X5" s="1"/>
      <c r="Y5" s="1"/>
      <c r="Z5" s="1">
        <v>10</v>
      </c>
      <c r="AA5" s="1" t="s">
        <v>346</v>
      </c>
    </row>
    <row r="6" spans="1:29">
      <c r="A6" s="1" t="s">
        <v>357</v>
      </c>
      <c r="B6" s="1">
        <v>1125</v>
      </c>
      <c r="C6" s="1">
        <v>60</v>
      </c>
      <c r="D6" s="1">
        <v>1125</v>
      </c>
      <c r="E6" s="1">
        <v>1035</v>
      </c>
      <c r="F6" s="1">
        <v>22</v>
      </c>
      <c r="G6" s="1">
        <v>550</v>
      </c>
      <c r="H6" s="1">
        <v>462</v>
      </c>
      <c r="I6" s="1">
        <v>29.63</v>
      </c>
      <c r="K6" s="1" t="s">
        <v>358</v>
      </c>
      <c r="N6" s="1" t="s">
        <v>343</v>
      </c>
      <c r="O6" s="1">
        <v>60</v>
      </c>
      <c r="P6" s="4" t="str">
        <f t="shared" si="0"/>
        <v>F0</v>
      </c>
      <c r="Q6" s="1">
        <v>60</v>
      </c>
      <c r="R6" s="4" t="str">
        <f t="shared" si="1"/>
        <v>F0</v>
      </c>
      <c r="S6" s="1">
        <v>200</v>
      </c>
      <c r="T6" s="4" t="str">
        <f t="shared" si="2"/>
        <v>320</v>
      </c>
      <c r="U6" s="1">
        <v>0</v>
      </c>
      <c r="V6" s="1" t="s">
        <v>359</v>
      </c>
      <c r="W6" s="1" t="s">
        <v>356</v>
      </c>
      <c r="X6" s="1"/>
      <c r="Y6" s="1"/>
      <c r="Z6" s="1">
        <v>10</v>
      </c>
      <c r="AA6" s="1" t="s">
        <v>346</v>
      </c>
    </row>
    <row r="7" spans="1:29">
      <c r="A7" s="1" t="s">
        <v>360</v>
      </c>
      <c r="B7" s="1">
        <v>1250</v>
      </c>
      <c r="C7" s="1">
        <v>50</v>
      </c>
      <c r="D7" s="1">
        <v>1250</v>
      </c>
      <c r="E7" s="1">
        <v>1152</v>
      </c>
      <c r="F7" s="1">
        <v>22</v>
      </c>
      <c r="G7" s="1">
        <v>594</v>
      </c>
      <c r="H7" s="1">
        <v>465</v>
      </c>
      <c r="I7" s="1">
        <v>32</v>
      </c>
      <c r="K7" s="1" t="s">
        <v>358</v>
      </c>
      <c r="N7" s="1" t="s">
        <v>343</v>
      </c>
      <c r="O7" s="1">
        <v>60</v>
      </c>
      <c r="P7" s="4" t="str">
        <f t="shared" si="0"/>
        <v>F0</v>
      </c>
      <c r="Q7" s="1">
        <v>60</v>
      </c>
      <c r="R7" s="4" t="str">
        <f t="shared" si="1"/>
        <v>F0</v>
      </c>
      <c r="S7" s="1">
        <v>200</v>
      </c>
      <c r="T7" s="4" t="str">
        <f t="shared" si="2"/>
        <v>320</v>
      </c>
      <c r="U7" s="1">
        <v>0</v>
      </c>
      <c r="V7" s="1" t="s">
        <v>361</v>
      </c>
      <c r="W7" s="1" t="s">
        <v>362</v>
      </c>
      <c r="X7" s="1"/>
      <c r="Y7" s="1"/>
      <c r="Z7" s="1">
        <v>10</v>
      </c>
      <c r="AA7" s="1" t="s">
        <v>346</v>
      </c>
    </row>
    <row r="8" spans="1:29">
      <c r="A8" s="1" t="s">
        <v>363</v>
      </c>
      <c r="B8" s="1">
        <v>405</v>
      </c>
      <c r="C8" s="1">
        <v>50</v>
      </c>
      <c r="D8" s="1">
        <v>405</v>
      </c>
      <c r="E8" s="1">
        <v>378</v>
      </c>
      <c r="F8" s="1">
        <v>15</v>
      </c>
      <c r="G8" s="1">
        <v>1280</v>
      </c>
      <c r="H8" s="1">
        <v>1054</v>
      </c>
      <c r="I8" s="1">
        <v>98.7654</v>
      </c>
      <c r="K8" s="1" t="s">
        <v>364</v>
      </c>
      <c r="N8" s="1" t="s">
        <v>343</v>
      </c>
      <c r="O8" s="1">
        <v>60</v>
      </c>
      <c r="P8" s="4" t="str">
        <f t="shared" si="0"/>
        <v>F0</v>
      </c>
      <c r="Q8" s="1">
        <v>60</v>
      </c>
      <c r="R8" s="4" t="str">
        <f t="shared" si="1"/>
        <v>F0</v>
      </c>
      <c r="S8" s="1">
        <v>200</v>
      </c>
      <c r="T8" s="4" t="str">
        <f t="shared" si="2"/>
        <v>320</v>
      </c>
      <c r="U8" s="1">
        <v>0</v>
      </c>
      <c r="V8" s="1" t="s">
        <v>365</v>
      </c>
      <c r="W8" s="1" t="s">
        <v>366</v>
      </c>
      <c r="X8" s="1"/>
      <c r="Y8" s="1"/>
      <c r="Z8" s="1">
        <v>10</v>
      </c>
      <c r="AA8" s="1" t="s">
        <v>346</v>
      </c>
    </row>
    <row r="10" spans="1:29">
      <c r="A10" s="1" t="s">
        <v>367</v>
      </c>
      <c r="B10" s="1">
        <v>525</v>
      </c>
      <c r="C10" s="1" t="s">
        <v>368</v>
      </c>
      <c r="D10" s="1">
        <v>525</v>
      </c>
      <c r="E10" s="1">
        <v>486</v>
      </c>
      <c r="F10" s="1">
        <v>20</v>
      </c>
      <c r="G10" s="1">
        <v>858</v>
      </c>
      <c r="H10" s="1">
        <v>714</v>
      </c>
      <c r="I10" s="1">
        <v>63.555599999999998</v>
      </c>
      <c r="K10" s="1" t="s">
        <v>369</v>
      </c>
      <c r="M10" s="1" t="s">
        <v>223</v>
      </c>
      <c r="N10" s="1" t="s">
        <v>370</v>
      </c>
      <c r="O10" s="1">
        <v>64</v>
      </c>
      <c r="P10" s="4" t="str">
        <f t="shared" ref="P10:P14" si="3">DEC2HEX(O10*4)</f>
        <v>100</v>
      </c>
      <c r="Q10" s="1">
        <v>64</v>
      </c>
      <c r="R10" s="4" t="str">
        <f t="shared" ref="R10:R14" si="4">DEC2HEX(Q10*4)</f>
        <v>100</v>
      </c>
      <c r="S10" s="1">
        <v>173.5</v>
      </c>
      <c r="T10" s="4" t="str">
        <f t="shared" ref="T10:T14" si="5">DEC2HEX(S10*4)</f>
        <v>2B6</v>
      </c>
      <c r="U10" s="1">
        <v>17</v>
      </c>
      <c r="V10" s="1" t="s">
        <v>371</v>
      </c>
      <c r="W10" s="1" t="s">
        <v>372</v>
      </c>
      <c r="X10" s="1" t="s">
        <v>373</v>
      </c>
      <c r="Y10" s="1">
        <v>4</v>
      </c>
      <c r="Z10" s="1">
        <v>10</v>
      </c>
      <c r="AA10" s="1" t="s">
        <v>374</v>
      </c>
      <c r="AB10" s="1" t="s">
        <v>375</v>
      </c>
      <c r="AC10" s="1" t="s">
        <v>376</v>
      </c>
    </row>
    <row r="11" spans="1:29">
      <c r="A11" s="1" t="s">
        <v>377</v>
      </c>
      <c r="B11" s="1">
        <v>525</v>
      </c>
      <c r="C11" s="1" t="s">
        <v>378</v>
      </c>
      <c r="D11" s="1">
        <v>525</v>
      </c>
      <c r="E11" s="1">
        <v>486</v>
      </c>
      <c r="F11" s="1">
        <v>20</v>
      </c>
      <c r="G11" s="1">
        <v>858</v>
      </c>
      <c r="H11" s="1">
        <v>714</v>
      </c>
      <c r="I11" s="1">
        <v>63.555599999999998</v>
      </c>
      <c r="K11" s="1" t="s">
        <v>369</v>
      </c>
      <c r="M11" s="1" t="s">
        <v>379</v>
      </c>
      <c r="O11" s="1">
        <v>16</v>
      </c>
      <c r="P11" s="4" t="str">
        <f t="shared" si="3"/>
        <v>40</v>
      </c>
      <c r="Q11" s="1">
        <v>16</v>
      </c>
      <c r="R11" s="4" t="str">
        <f t="shared" si="4"/>
        <v>40</v>
      </c>
      <c r="S11" s="1">
        <v>235</v>
      </c>
      <c r="T11" s="4" t="str">
        <f t="shared" si="5"/>
        <v>3AC</v>
      </c>
      <c r="U11" s="1" t="s">
        <v>105</v>
      </c>
      <c r="V11" s="1" t="s">
        <v>371</v>
      </c>
      <c r="W11" s="1" t="s">
        <v>380</v>
      </c>
      <c r="X11" s="1" t="s">
        <v>381</v>
      </c>
      <c r="Y11" s="1">
        <v>4</v>
      </c>
      <c r="Z11" s="1">
        <v>10</v>
      </c>
      <c r="AA11" s="1" t="s">
        <v>346</v>
      </c>
      <c r="AB11" s="1" t="s">
        <v>382</v>
      </c>
      <c r="AC11" s="1" t="s">
        <v>383</v>
      </c>
    </row>
    <row r="12" spans="1:29">
      <c r="A12" s="1" t="s">
        <v>384</v>
      </c>
      <c r="B12" s="1">
        <v>525</v>
      </c>
      <c r="C12" s="1">
        <v>59.94</v>
      </c>
      <c r="D12" s="1">
        <v>525</v>
      </c>
      <c r="E12" s="1">
        <v>486</v>
      </c>
      <c r="F12" s="1">
        <v>40</v>
      </c>
      <c r="G12" s="1">
        <v>600</v>
      </c>
      <c r="H12" s="1">
        <v>481</v>
      </c>
      <c r="I12" s="1">
        <v>31.777799999999999</v>
      </c>
      <c r="K12" s="1" t="s">
        <v>385</v>
      </c>
      <c r="N12" s="1" t="s">
        <v>343</v>
      </c>
      <c r="O12" s="1">
        <v>60</v>
      </c>
      <c r="P12" s="4" t="str">
        <f t="shared" si="3"/>
        <v>F0</v>
      </c>
      <c r="Q12" s="1">
        <v>60</v>
      </c>
      <c r="R12" s="4" t="str">
        <f t="shared" si="4"/>
        <v>F0</v>
      </c>
      <c r="S12" s="1">
        <v>200</v>
      </c>
      <c r="T12" s="4" t="str">
        <f t="shared" si="5"/>
        <v>320</v>
      </c>
      <c r="U12" s="1">
        <v>0</v>
      </c>
      <c r="V12" s="1" t="s">
        <v>386</v>
      </c>
      <c r="W12" s="1" t="s">
        <v>387</v>
      </c>
      <c r="X12" s="1"/>
      <c r="Y12" s="1"/>
      <c r="Z12" s="1">
        <v>10</v>
      </c>
      <c r="AA12" s="1" t="s">
        <v>346</v>
      </c>
    </row>
    <row r="13" spans="1:29">
      <c r="A13" s="1" t="s">
        <v>79</v>
      </c>
      <c r="B13" s="1">
        <v>525</v>
      </c>
      <c r="C13" s="1">
        <v>59.94</v>
      </c>
      <c r="D13" s="1">
        <v>525</v>
      </c>
      <c r="E13" s="1">
        <v>486</v>
      </c>
      <c r="F13" s="1">
        <v>20</v>
      </c>
      <c r="G13" s="1">
        <v>910</v>
      </c>
      <c r="H13" s="1">
        <v>756</v>
      </c>
      <c r="I13" s="1">
        <v>63.555599999999998</v>
      </c>
      <c r="K13" s="1" t="s">
        <v>385</v>
      </c>
      <c r="N13" s="1" t="s">
        <v>343</v>
      </c>
      <c r="O13" s="1">
        <v>60</v>
      </c>
      <c r="P13" s="4" t="str">
        <f t="shared" si="3"/>
        <v>F0</v>
      </c>
      <c r="Q13" s="1">
        <v>60</v>
      </c>
      <c r="R13" s="4" t="str">
        <f t="shared" si="4"/>
        <v>F0</v>
      </c>
      <c r="S13" s="1">
        <v>200</v>
      </c>
      <c r="T13" s="4" t="str">
        <f t="shared" si="5"/>
        <v>320</v>
      </c>
      <c r="U13" s="1">
        <v>0</v>
      </c>
      <c r="V13" s="1" t="s">
        <v>388</v>
      </c>
      <c r="W13" s="1" t="s">
        <v>389</v>
      </c>
      <c r="X13" s="1" t="s">
        <v>390</v>
      </c>
      <c r="Y13" s="1">
        <v>3</v>
      </c>
      <c r="Z13" s="1">
        <v>10</v>
      </c>
      <c r="AA13" s="1" t="s">
        <v>346</v>
      </c>
    </row>
    <row r="14" spans="1:29">
      <c r="A14" s="1" t="s">
        <v>84</v>
      </c>
      <c r="B14" s="1">
        <v>525</v>
      </c>
      <c r="C14" s="1">
        <v>59.94</v>
      </c>
      <c r="D14" s="1">
        <v>525</v>
      </c>
      <c r="E14" s="1">
        <v>486</v>
      </c>
      <c r="F14" s="1">
        <v>20</v>
      </c>
      <c r="G14" s="1">
        <v>910</v>
      </c>
      <c r="H14" s="1">
        <v>756</v>
      </c>
      <c r="I14" s="1">
        <v>63.555599999999998</v>
      </c>
      <c r="K14" s="1" t="s">
        <v>385</v>
      </c>
      <c r="N14" s="1" t="s">
        <v>343</v>
      </c>
      <c r="O14" s="1">
        <v>60</v>
      </c>
      <c r="P14" s="4" t="str">
        <f t="shared" si="3"/>
        <v>F0</v>
      </c>
      <c r="Q14" s="1">
        <v>60</v>
      </c>
      <c r="R14" s="4" t="str">
        <f t="shared" si="4"/>
        <v>F0</v>
      </c>
      <c r="S14" s="1">
        <v>200</v>
      </c>
      <c r="T14" s="4" t="str">
        <f t="shared" si="5"/>
        <v>320</v>
      </c>
      <c r="U14" s="1">
        <v>0</v>
      </c>
      <c r="V14" s="1" t="s">
        <v>388</v>
      </c>
      <c r="W14" s="1" t="s">
        <v>389</v>
      </c>
      <c r="X14" s="1" t="s">
        <v>391</v>
      </c>
      <c r="Y14" s="1">
        <v>3</v>
      </c>
      <c r="Z14" s="1">
        <v>10</v>
      </c>
      <c r="AA14" s="1" t="s">
        <v>346</v>
      </c>
    </row>
    <row r="16" spans="1:29">
      <c r="A16" s="1" t="s">
        <v>392</v>
      </c>
      <c r="B16" s="1">
        <v>625</v>
      </c>
      <c r="C16" s="1">
        <v>50</v>
      </c>
      <c r="D16" s="1">
        <v>625</v>
      </c>
      <c r="E16" s="1">
        <v>576</v>
      </c>
      <c r="F16" s="1">
        <v>22</v>
      </c>
      <c r="G16" s="1">
        <v>864</v>
      </c>
      <c r="H16" s="1">
        <v>702</v>
      </c>
      <c r="I16" s="1">
        <v>64</v>
      </c>
      <c r="K16" s="1" t="s">
        <v>369</v>
      </c>
      <c r="M16" s="1" t="s">
        <v>223</v>
      </c>
      <c r="N16" s="1" t="s">
        <v>393</v>
      </c>
      <c r="O16" s="1">
        <v>64</v>
      </c>
      <c r="P16" s="4" t="str">
        <f t="shared" ref="P16:P20" si="6">DEC2HEX(O16*4)</f>
        <v>100</v>
      </c>
      <c r="Q16" s="1">
        <v>64</v>
      </c>
      <c r="R16" s="4" t="str">
        <f t="shared" ref="R16:R20" si="7">DEC2HEX(Q16*4)</f>
        <v>100</v>
      </c>
      <c r="S16" s="1">
        <v>173.5</v>
      </c>
      <c r="T16" s="4" t="str">
        <f t="shared" ref="T16:T20" si="8">DEC2HEX(S16*4)</f>
        <v>2B6</v>
      </c>
      <c r="U16" s="1">
        <v>17</v>
      </c>
      <c r="V16" s="1" t="s">
        <v>394</v>
      </c>
      <c r="W16" s="1" t="s">
        <v>395</v>
      </c>
      <c r="X16" s="1" t="s">
        <v>396</v>
      </c>
      <c r="Y16" s="1">
        <v>5</v>
      </c>
      <c r="Z16" s="1">
        <v>10</v>
      </c>
      <c r="AA16" s="1" t="s">
        <v>346</v>
      </c>
      <c r="AB16" s="1" t="s">
        <v>375</v>
      </c>
      <c r="AC16" s="1" t="s">
        <v>376</v>
      </c>
    </row>
    <row r="17" spans="1:29">
      <c r="A17" s="1" t="s">
        <v>397</v>
      </c>
      <c r="B17" s="1">
        <v>625</v>
      </c>
      <c r="C17" s="1">
        <v>50</v>
      </c>
      <c r="D17" s="1">
        <v>625</v>
      </c>
      <c r="E17" s="1">
        <v>576</v>
      </c>
      <c r="F17" s="1">
        <v>22</v>
      </c>
      <c r="G17" s="1">
        <v>864</v>
      </c>
      <c r="H17" s="1">
        <v>702</v>
      </c>
      <c r="I17" s="1">
        <v>64</v>
      </c>
      <c r="K17" s="1" t="s">
        <v>369</v>
      </c>
      <c r="M17" s="1" t="s">
        <v>379</v>
      </c>
      <c r="O17" s="1">
        <v>16</v>
      </c>
      <c r="P17" s="4" t="str">
        <f t="shared" si="6"/>
        <v>40</v>
      </c>
      <c r="Q17" s="1">
        <v>16</v>
      </c>
      <c r="R17" s="4" t="str">
        <f t="shared" si="7"/>
        <v>40</v>
      </c>
      <c r="S17" s="1">
        <v>235</v>
      </c>
      <c r="T17" s="4" t="str">
        <f t="shared" si="8"/>
        <v>3AC</v>
      </c>
      <c r="U17" s="1" t="s">
        <v>105</v>
      </c>
      <c r="V17" s="1" t="s">
        <v>394</v>
      </c>
      <c r="W17" s="1" t="s">
        <v>398</v>
      </c>
      <c r="X17" s="1" t="s">
        <v>399</v>
      </c>
      <c r="Y17" s="1">
        <v>5</v>
      </c>
      <c r="Z17" s="1">
        <v>10</v>
      </c>
      <c r="AA17" s="1" t="s">
        <v>346</v>
      </c>
      <c r="AB17" s="1" t="s">
        <v>382</v>
      </c>
      <c r="AC17" s="1" t="s">
        <v>383</v>
      </c>
    </row>
    <row r="18" spans="1:29">
      <c r="A18" s="1" t="s">
        <v>400</v>
      </c>
      <c r="B18" s="1">
        <v>625</v>
      </c>
      <c r="C18" s="1">
        <v>50</v>
      </c>
      <c r="D18" s="1">
        <v>625</v>
      </c>
      <c r="E18" s="1">
        <v>576</v>
      </c>
      <c r="F18" s="1">
        <v>50</v>
      </c>
      <c r="G18" s="1">
        <v>594</v>
      </c>
      <c r="H18" s="1">
        <v>464</v>
      </c>
      <c r="I18" s="1">
        <v>32</v>
      </c>
      <c r="K18" s="1" t="s">
        <v>401</v>
      </c>
      <c r="N18" s="1" t="s">
        <v>343</v>
      </c>
      <c r="O18" s="1">
        <v>60</v>
      </c>
      <c r="P18" s="4" t="str">
        <f t="shared" si="6"/>
        <v>F0</v>
      </c>
      <c r="Q18" s="1">
        <v>60</v>
      </c>
      <c r="R18" s="4" t="str">
        <f t="shared" si="7"/>
        <v>F0</v>
      </c>
      <c r="S18" s="1">
        <v>200</v>
      </c>
      <c r="T18" s="4" t="str">
        <f t="shared" si="8"/>
        <v>320</v>
      </c>
      <c r="U18" s="1">
        <v>0</v>
      </c>
      <c r="V18" s="1" t="s">
        <v>402</v>
      </c>
      <c r="W18" s="1" t="s">
        <v>403</v>
      </c>
      <c r="X18" s="1"/>
      <c r="Y18" s="1"/>
      <c r="Z18" s="1">
        <v>10</v>
      </c>
      <c r="AA18" s="1" t="s">
        <v>346</v>
      </c>
    </row>
    <row r="19" spans="1:29">
      <c r="A19" s="1" t="s">
        <v>53</v>
      </c>
      <c r="B19" s="1">
        <v>625</v>
      </c>
      <c r="C19" s="1">
        <v>50</v>
      </c>
      <c r="D19" s="1">
        <v>625</v>
      </c>
      <c r="E19" s="1">
        <v>576</v>
      </c>
      <c r="F19" s="1">
        <v>22</v>
      </c>
      <c r="G19" s="1">
        <v>1135</v>
      </c>
      <c r="H19" s="1">
        <v>922</v>
      </c>
      <c r="I19" s="1">
        <v>64</v>
      </c>
      <c r="K19" s="1" t="s">
        <v>401</v>
      </c>
      <c r="N19" s="1" t="s">
        <v>343</v>
      </c>
      <c r="O19" s="1">
        <v>60</v>
      </c>
      <c r="P19" s="4" t="str">
        <f t="shared" si="6"/>
        <v>F0</v>
      </c>
      <c r="Q19" s="1">
        <v>60</v>
      </c>
      <c r="R19" s="4" t="str">
        <f t="shared" si="7"/>
        <v>F0</v>
      </c>
      <c r="S19" s="1">
        <v>200</v>
      </c>
      <c r="T19" s="4" t="str">
        <f t="shared" si="8"/>
        <v>320</v>
      </c>
      <c r="U19" s="1">
        <v>0</v>
      </c>
      <c r="V19" s="1" t="s">
        <v>404</v>
      </c>
      <c r="W19" s="1" t="s">
        <v>366</v>
      </c>
      <c r="X19" s="1" t="s">
        <v>405</v>
      </c>
      <c r="Y19" s="1">
        <v>0</v>
      </c>
      <c r="Z19" s="1">
        <v>10</v>
      </c>
      <c r="AA19" s="1" t="s">
        <v>346</v>
      </c>
    </row>
    <row r="20" spans="1:29">
      <c r="A20" s="1" t="s">
        <v>59</v>
      </c>
      <c r="B20" s="1">
        <v>625</v>
      </c>
      <c r="C20" s="1">
        <v>50</v>
      </c>
      <c r="D20" s="1">
        <v>625</v>
      </c>
      <c r="E20" s="1">
        <v>576</v>
      </c>
      <c r="F20" s="1">
        <v>22</v>
      </c>
      <c r="G20" s="1">
        <v>1135</v>
      </c>
      <c r="H20" s="1">
        <v>922</v>
      </c>
      <c r="I20" s="1">
        <v>64</v>
      </c>
      <c r="K20" s="1" t="s">
        <v>401</v>
      </c>
      <c r="N20" s="1" t="s">
        <v>343</v>
      </c>
      <c r="O20" s="1">
        <v>60</v>
      </c>
      <c r="P20" s="4" t="str">
        <f t="shared" si="6"/>
        <v>F0</v>
      </c>
      <c r="Q20" s="1">
        <v>60</v>
      </c>
      <c r="R20" s="4" t="str">
        <f t="shared" si="7"/>
        <v>F0</v>
      </c>
      <c r="S20" s="1">
        <v>200</v>
      </c>
      <c r="T20" s="4" t="str">
        <f t="shared" si="8"/>
        <v>320</v>
      </c>
      <c r="U20" s="1">
        <v>0</v>
      </c>
      <c r="V20" s="1" t="s">
        <v>404</v>
      </c>
      <c r="W20" s="1" t="s">
        <v>366</v>
      </c>
      <c r="X20" s="1" t="s">
        <v>406</v>
      </c>
      <c r="Y20" s="1">
        <v>0</v>
      </c>
      <c r="Z20" s="1">
        <v>10</v>
      </c>
      <c r="AA20" s="1" t="s">
        <v>346</v>
      </c>
    </row>
    <row r="22" spans="1:29">
      <c r="A22" s="1" t="s">
        <v>407</v>
      </c>
      <c r="B22" s="1">
        <v>735</v>
      </c>
      <c r="C22" s="1">
        <v>89.82</v>
      </c>
      <c r="D22" s="1">
        <v>735</v>
      </c>
      <c r="E22" s="1">
        <v>676</v>
      </c>
      <c r="F22" s="1">
        <v>29</v>
      </c>
      <c r="G22" s="1">
        <v>572</v>
      </c>
      <c r="H22" s="1">
        <v>458</v>
      </c>
      <c r="I22" s="1">
        <v>30.295000000000002</v>
      </c>
      <c r="J22" s="1"/>
      <c r="K22" s="1" t="s">
        <v>342</v>
      </c>
      <c r="N22" s="1" t="s">
        <v>343</v>
      </c>
      <c r="O22" s="1">
        <v>60</v>
      </c>
      <c r="P22" s="4" t="str">
        <f t="shared" ref="P22:P23" si="9">DEC2HEX(O22*4)</f>
        <v>F0</v>
      </c>
      <c r="Q22" s="1">
        <v>60</v>
      </c>
      <c r="R22" s="4" t="str">
        <f t="shared" ref="R22:R23" si="10">DEC2HEX(Q22*4)</f>
        <v>F0</v>
      </c>
      <c r="S22" s="1">
        <v>200</v>
      </c>
      <c r="T22" s="4" t="str">
        <f t="shared" ref="T22:T23" si="11">DEC2HEX(S22*4)</f>
        <v>320</v>
      </c>
      <c r="U22" s="1">
        <v>0</v>
      </c>
      <c r="V22" s="1" t="s">
        <v>408</v>
      </c>
      <c r="W22" s="1" t="s">
        <v>409</v>
      </c>
      <c r="X22" s="1"/>
      <c r="Y22" s="1"/>
      <c r="Z22" s="1">
        <v>10</v>
      </c>
      <c r="AA22" s="1" t="s">
        <v>346</v>
      </c>
    </row>
    <row r="23" spans="1:29">
      <c r="A23" s="1" t="s">
        <v>410</v>
      </c>
      <c r="B23" s="1">
        <v>875</v>
      </c>
      <c r="C23" s="1">
        <v>74.959999999999994</v>
      </c>
      <c r="D23" s="1">
        <v>875</v>
      </c>
      <c r="E23" s="1">
        <v>806</v>
      </c>
      <c r="F23" s="1">
        <v>30</v>
      </c>
      <c r="G23" s="1">
        <v>566</v>
      </c>
      <c r="H23" s="1">
        <v>422</v>
      </c>
      <c r="I23" s="1">
        <v>30.492000000000001</v>
      </c>
      <c r="J23" s="1" t="s">
        <v>411</v>
      </c>
      <c r="K23" s="1" t="s">
        <v>358</v>
      </c>
      <c r="N23" s="1" t="s">
        <v>343</v>
      </c>
      <c r="O23" s="1">
        <v>60</v>
      </c>
      <c r="P23" s="4" t="str">
        <f t="shared" si="9"/>
        <v>F0</v>
      </c>
      <c r="Q23" s="1">
        <v>60</v>
      </c>
      <c r="R23" s="4" t="str">
        <f t="shared" si="10"/>
        <v>F0</v>
      </c>
      <c r="S23" s="1">
        <v>200</v>
      </c>
      <c r="T23" s="4" t="str">
        <f t="shared" si="11"/>
        <v>320</v>
      </c>
      <c r="U23" s="1">
        <v>0</v>
      </c>
      <c r="V23" s="1" t="s">
        <v>412</v>
      </c>
      <c r="W23" s="1" t="s">
        <v>413</v>
      </c>
      <c r="X23" s="1"/>
      <c r="Y23" s="1"/>
      <c r="Z23" s="1">
        <v>10</v>
      </c>
      <c r="AA23" s="1" t="s">
        <v>346</v>
      </c>
    </row>
    <row r="26" spans="1:29">
      <c r="A26" s="1" t="s">
        <v>70</v>
      </c>
      <c r="B26" s="1">
        <v>525</v>
      </c>
      <c r="C26" s="1">
        <v>59.94</v>
      </c>
      <c r="D26" s="1">
        <v>525</v>
      </c>
      <c r="E26" s="1">
        <v>586</v>
      </c>
      <c r="F26" s="1">
        <v>20</v>
      </c>
      <c r="G26" s="1">
        <v>910</v>
      </c>
      <c r="H26" s="1">
        <v>756</v>
      </c>
      <c r="I26" s="1">
        <v>63.555599999999998</v>
      </c>
      <c r="J26" s="1">
        <v>52.8</v>
      </c>
      <c r="K26" s="1" t="s">
        <v>385</v>
      </c>
      <c r="M26" s="1" t="s">
        <v>223</v>
      </c>
      <c r="N26" s="1" t="s">
        <v>224</v>
      </c>
      <c r="O26" s="1">
        <v>60</v>
      </c>
      <c r="P26" s="4" t="str">
        <f t="shared" ref="P26:P28" si="12">DEC2HEX(O26*4)</f>
        <v>F0</v>
      </c>
      <c r="Q26" s="1">
        <v>70.5</v>
      </c>
      <c r="R26" s="4" t="str">
        <f t="shared" ref="R26:R28" si="13">DEC2HEX(Q26*4)</f>
        <v>11A</v>
      </c>
      <c r="S26" s="1">
        <v>200</v>
      </c>
      <c r="T26" s="4" t="str">
        <f t="shared" ref="T26:T28" si="14">DEC2HEX(S26*4)</f>
        <v>320</v>
      </c>
      <c r="U26" s="1">
        <v>4</v>
      </c>
      <c r="V26" s="1" t="s">
        <v>414</v>
      </c>
      <c r="W26" s="1" t="s">
        <v>415</v>
      </c>
      <c r="X26" s="1" t="s">
        <v>416</v>
      </c>
      <c r="Y26" s="1">
        <v>3</v>
      </c>
      <c r="Z26" s="1">
        <v>10</v>
      </c>
      <c r="AA26" s="1" t="s">
        <v>417</v>
      </c>
      <c r="AB26" s="1" t="s">
        <v>418</v>
      </c>
      <c r="AC26" s="1" t="s">
        <v>419</v>
      </c>
    </row>
    <row r="27" spans="1:29">
      <c r="A27" s="1" t="s">
        <v>91</v>
      </c>
      <c r="B27" s="1">
        <v>525</v>
      </c>
      <c r="C27" s="1">
        <v>59.94</v>
      </c>
      <c r="D27" s="1">
        <v>525</v>
      </c>
      <c r="E27" s="1">
        <v>586</v>
      </c>
      <c r="F27" s="1">
        <v>20</v>
      </c>
      <c r="G27" s="1">
        <v>1126</v>
      </c>
      <c r="H27" s="1">
        <v>932</v>
      </c>
      <c r="I27" s="1">
        <v>63.555599999999998</v>
      </c>
      <c r="J27" s="1">
        <v>52.605499999999999</v>
      </c>
      <c r="K27" s="1" t="s">
        <v>401</v>
      </c>
      <c r="N27" s="1" t="s">
        <v>343</v>
      </c>
      <c r="O27" s="1">
        <v>60</v>
      </c>
      <c r="P27" s="4" t="str">
        <f t="shared" si="12"/>
        <v>F0</v>
      </c>
      <c r="Q27" s="1">
        <v>70.5</v>
      </c>
      <c r="R27" s="4" t="str">
        <f t="shared" si="13"/>
        <v>11A</v>
      </c>
      <c r="S27" s="1">
        <v>200</v>
      </c>
      <c r="T27" s="4" t="str">
        <f t="shared" si="14"/>
        <v>320</v>
      </c>
      <c r="U27" s="1">
        <v>4</v>
      </c>
      <c r="V27" s="1" t="s">
        <v>420</v>
      </c>
      <c r="W27" s="1" t="s">
        <v>421</v>
      </c>
      <c r="X27" s="1" t="s">
        <v>422</v>
      </c>
      <c r="Y27" s="1">
        <v>6</v>
      </c>
      <c r="Z27" s="1">
        <v>10</v>
      </c>
      <c r="AA27" s="1" t="s">
        <v>417</v>
      </c>
      <c r="AB27" s="1" t="s">
        <v>418</v>
      </c>
      <c r="AC27" s="1" t="s">
        <v>419</v>
      </c>
    </row>
    <row r="28" spans="1:29">
      <c r="A28" s="1" t="s">
        <v>423</v>
      </c>
      <c r="B28" s="1">
        <v>525</v>
      </c>
      <c r="C28" s="1">
        <v>59.94</v>
      </c>
      <c r="D28" s="1">
        <v>525</v>
      </c>
      <c r="E28" s="1">
        <v>586</v>
      </c>
      <c r="F28" s="1">
        <v>20</v>
      </c>
      <c r="G28" s="1">
        <v>910</v>
      </c>
      <c r="H28" s="1">
        <v>756</v>
      </c>
      <c r="I28" s="1">
        <v>63.555599999999998</v>
      </c>
      <c r="J28" s="1">
        <v>52.8</v>
      </c>
      <c r="K28" s="1" t="s">
        <v>385</v>
      </c>
      <c r="N28" s="1" t="s">
        <v>343</v>
      </c>
      <c r="O28" s="1">
        <v>60</v>
      </c>
      <c r="P28" s="4" t="str">
        <f t="shared" si="12"/>
        <v>F0</v>
      </c>
      <c r="Q28" s="1">
        <v>60</v>
      </c>
      <c r="R28" s="4" t="str">
        <f t="shared" si="13"/>
        <v>F0</v>
      </c>
      <c r="S28" s="1">
        <v>200</v>
      </c>
      <c r="T28" s="4" t="str">
        <f t="shared" si="14"/>
        <v>320</v>
      </c>
      <c r="U28" s="1">
        <v>4</v>
      </c>
      <c r="V28" s="1" t="s">
        <v>414</v>
      </c>
      <c r="W28" s="1" t="s">
        <v>424</v>
      </c>
      <c r="X28" s="1"/>
      <c r="Y28" s="1">
        <v>3</v>
      </c>
      <c r="Z28" s="1">
        <v>10</v>
      </c>
      <c r="AA28" s="1" t="s">
        <v>417</v>
      </c>
      <c r="AB28" s="1" t="s">
        <v>425</v>
      </c>
    </row>
    <row r="30" spans="1:29">
      <c r="A30" s="1" t="s">
        <v>426</v>
      </c>
      <c r="B30" s="1">
        <v>625</v>
      </c>
      <c r="C30" s="1">
        <v>50</v>
      </c>
      <c r="D30" s="1">
        <v>625</v>
      </c>
      <c r="E30" s="1">
        <v>576</v>
      </c>
      <c r="F30" s="1">
        <v>22</v>
      </c>
      <c r="G30" s="1">
        <v>1135</v>
      </c>
      <c r="H30" s="1">
        <v>922</v>
      </c>
      <c r="I30" s="1">
        <v>64</v>
      </c>
      <c r="J30" s="1">
        <v>51.989400000000003</v>
      </c>
      <c r="K30" s="1" t="s">
        <v>401</v>
      </c>
      <c r="M30" s="1" t="s">
        <v>223</v>
      </c>
      <c r="N30" s="1" t="s">
        <v>224</v>
      </c>
      <c r="O30" s="1">
        <v>64</v>
      </c>
      <c r="P30" s="4" t="str">
        <f t="shared" ref="P30:P35" si="15">DEC2HEX(O30*4)</f>
        <v>100</v>
      </c>
      <c r="Q30" s="1">
        <v>64</v>
      </c>
      <c r="R30" s="4" t="str">
        <f t="shared" ref="R30:R35" si="16">DEC2HEX(Q30*4)</f>
        <v>100</v>
      </c>
      <c r="S30" s="1">
        <v>211</v>
      </c>
      <c r="T30" s="4" t="str">
        <f t="shared" ref="T30:T35" si="17">DEC2HEX(S30*4)</f>
        <v>34C</v>
      </c>
      <c r="U30" s="1">
        <v>1</v>
      </c>
      <c r="V30" s="1" t="s">
        <v>404</v>
      </c>
      <c r="W30" s="1" t="s">
        <v>427</v>
      </c>
      <c r="X30" s="1" t="s">
        <v>428</v>
      </c>
      <c r="Y30" s="1">
        <v>0</v>
      </c>
      <c r="Z30" s="1">
        <v>10</v>
      </c>
      <c r="AA30" s="1" t="s">
        <v>346</v>
      </c>
      <c r="AC30" s="1" t="s">
        <v>429</v>
      </c>
    </row>
    <row r="31" spans="1:29">
      <c r="A31" s="1" t="s">
        <v>430</v>
      </c>
      <c r="B31" s="1">
        <v>625</v>
      </c>
      <c r="C31" s="1">
        <v>50</v>
      </c>
      <c r="D31" s="1">
        <v>625</v>
      </c>
      <c r="E31" s="1">
        <v>576</v>
      </c>
      <c r="F31" s="1">
        <v>22</v>
      </c>
      <c r="G31" s="1">
        <v>1135</v>
      </c>
      <c r="H31" s="1">
        <v>922</v>
      </c>
      <c r="I31" s="1">
        <v>64</v>
      </c>
      <c r="J31" s="1">
        <v>51.989400000000003</v>
      </c>
      <c r="K31" s="1" t="s">
        <v>401</v>
      </c>
      <c r="N31" s="1" t="s">
        <v>343</v>
      </c>
      <c r="O31" s="1">
        <v>60</v>
      </c>
      <c r="P31" s="4" t="str">
        <f t="shared" si="15"/>
        <v>F0</v>
      </c>
      <c r="Q31" s="1">
        <v>60</v>
      </c>
      <c r="R31" s="4" t="str">
        <f t="shared" si="16"/>
        <v>F0</v>
      </c>
      <c r="S31" s="1">
        <v>200</v>
      </c>
      <c r="T31" s="4" t="str">
        <f t="shared" si="17"/>
        <v>320</v>
      </c>
      <c r="U31" s="1">
        <v>0</v>
      </c>
      <c r="V31" s="1" t="s">
        <v>404</v>
      </c>
      <c r="W31" s="1" t="s">
        <v>431</v>
      </c>
      <c r="X31" s="1" t="s">
        <v>432</v>
      </c>
      <c r="Y31" s="1">
        <v>0</v>
      </c>
      <c r="Z31" s="1">
        <v>10</v>
      </c>
      <c r="AA31" s="1" t="s">
        <v>346</v>
      </c>
    </row>
    <row r="32" spans="1:29">
      <c r="A32" s="1" t="s">
        <v>433</v>
      </c>
      <c r="B32" s="1">
        <v>625</v>
      </c>
      <c r="C32" s="1">
        <v>50</v>
      </c>
      <c r="D32" s="1">
        <v>625</v>
      </c>
      <c r="E32" s="1">
        <v>576</v>
      </c>
      <c r="F32" s="1">
        <v>22</v>
      </c>
      <c r="G32" s="1">
        <v>1135</v>
      </c>
      <c r="H32" s="1">
        <v>922</v>
      </c>
      <c r="I32" s="1">
        <v>64</v>
      </c>
      <c r="J32" s="1">
        <v>51.989400000000003</v>
      </c>
      <c r="K32" s="1" t="s">
        <v>401</v>
      </c>
      <c r="M32" s="1" t="s">
        <v>379</v>
      </c>
      <c r="O32" s="1">
        <v>64</v>
      </c>
      <c r="P32" s="4" t="str">
        <f t="shared" si="15"/>
        <v>100</v>
      </c>
      <c r="Q32" s="1">
        <v>64</v>
      </c>
      <c r="R32" s="4" t="str">
        <f t="shared" si="16"/>
        <v>100</v>
      </c>
      <c r="S32" s="1">
        <v>211</v>
      </c>
      <c r="T32" s="4" t="str">
        <f t="shared" si="17"/>
        <v>34C</v>
      </c>
      <c r="U32" s="1">
        <v>1</v>
      </c>
      <c r="V32" s="1" t="s">
        <v>404</v>
      </c>
      <c r="W32" s="1" t="s">
        <v>427</v>
      </c>
      <c r="X32" s="1" t="s">
        <v>434</v>
      </c>
      <c r="Y32" s="1">
        <v>0</v>
      </c>
      <c r="Z32" s="1">
        <v>10</v>
      </c>
      <c r="AA32" s="1" t="s">
        <v>346</v>
      </c>
      <c r="AC32" s="1" t="s">
        <v>429</v>
      </c>
    </row>
    <row r="33" spans="1:29">
      <c r="A33" s="1" t="s">
        <v>435</v>
      </c>
      <c r="B33" s="1">
        <v>625</v>
      </c>
      <c r="C33" s="1">
        <v>50</v>
      </c>
      <c r="D33" s="1">
        <v>625</v>
      </c>
      <c r="E33" s="1">
        <v>576</v>
      </c>
      <c r="F33" s="1">
        <v>22</v>
      </c>
      <c r="G33" s="1">
        <v>1135</v>
      </c>
      <c r="H33" s="1">
        <v>922</v>
      </c>
      <c r="I33" s="1">
        <v>64</v>
      </c>
      <c r="J33" s="1">
        <v>51.989400000000003</v>
      </c>
      <c r="K33" s="1" t="s">
        <v>401</v>
      </c>
      <c r="M33" s="1" t="s">
        <v>223</v>
      </c>
      <c r="N33" s="1" t="s">
        <v>224</v>
      </c>
      <c r="O33" s="1">
        <v>64</v>
      </c>
      <c r="P33" s="4" t="str">
        <f t="shared" si="15"/>
        <v>100</v>
      </c>
      <c r="Q33" s="1">
        <v>64</v>
      </c>
      <c r="R33" s="4" t="str">
        <f t="shared" si="16"/>
        <v>100</v>
      </c>
      <c r="S33" s="1">
        <v>211</v>
      </c>
      <c r="T33" s="4" t="str">
        <f t="shared" si="17"/>
        <v>34C</v>
      </c>
      <c r="U33" s="1">
        <v>1</v>
      </c>
      <c r="V33" s="1" t="s">
        <v>404</v>
      </c>
      <c r="W33" s="1" t="s">
        <v>436</v>
      </c>
      <c r="X33" s="1" t="s">
        <v>428</v>
      </c>
      <c r="Y33" s="1">
        <v>0</v>
      </c>
      <c r="Z33" s="1">
        <v>10</v>
      </c>
      <c r="AA33" s="1" t="s">
        <v>346</v>
      </c>
      <c r="AC33" s="1" t="s">
        <v>429</v>
      </c>
    </row>
    <row r="34" spans="1:29">
      <c r="A34" s="1" t="s">
        <v>437</v>
      </c>
      <c r="B34" s="1">
        <v>625</v>
      </c>
      <c r="C34" s="1">
        <v>50</v>
      </c>
      <c r="D34" s="1">
        <v>625</v>
      </c>
      <c r="E34" s="1">
        <v>576</v>
      </c>
      <c r="F34" s="1">
        <v>22</v>
      </c>
      <c r="G34" s="1">
        <v>1135</v>
      </c>
      <c r="H34" s="1">
        <v>922</v>
      </c>
      <c r="I34" s="1">
        <v>64</v>
      </c>
      <c r="J34" s="1">
        <v>51.989400000000003</v>
      </c>
      <c r="K34" s="1" t="s">
        <v>401</v>
      </c>
      <c r="N34" s="1" t="s">
        <v>343</v>
      </c>
      <c r="O34" s="1">
        <v>60</v>
      </c>
      <c r="P34" s="4" t="str">
        <f t="shared" si="15"/>
        <v>F0</v>
      </c>
      <c r="Q34" s="1">
        <v>60</v>
      </c>
      <c r="R34" s="4" t="str">
        <f t="shared" si="16"/>
        <v>F0</v>
      </c>
      <c r="S34" s="1">
        <v>200</v>
      </c>
      <c r="T34" s="4" t="str">
        <f t="shared" si="17"/>
        <v>320</v>
      </c>
      <c r="U34" s="1">
        <v>0</v>
      </c>
      <c r="V34" s="1" t="s">
        <v>404</v>
      </c>
      <c r="W34" s="1" t="s">
        <v>438</v>
      </c>
      <c r="X34" s="1" t="s">
        <v>432</v>
      </c>
      <c r="Y34" s="1">
        <v>0</v>
      </c>
      <c r="Z34" s="1">
        <v>10</v>
      </c>
      <c r="AA34" s="1" t="s">
        <v>346</v>
      </c>
    </row>
    <row r="35" spans="1:29">
      <c r="A35" s="1" t="s">
        <v>439</v>
      </c>
      <c r="B35" s="1">
        <v>625</v>
      </c>
      <c r="C35" s="1">
        <v>50</v>
      </c>
      <c r="D35" s="1">
        <v>625</v>
      </c>
      <c r="E35" s="1">
        <v>576</v>
      </c>
      <c r="F35" s="1">
        <v>22</v>
      </c>
      <c r="G35" s="1">
        <v>1135</v>
      </c>
      <c r="H35" s="1">
        <v>922</v>
      </c>
      <c r="I35" s="1">
        <v>64</v>
      </c>
      <c r="J35" s="1">
        <v>51.989400000000003</v>
      </c>
      <c r="K35" s="1" t="s">
        <v>401</v>
      </c>
      <c r="M35" s="1" t="s">
        <v>379</v>
      </c>
      <c r="O35" s="1">
        <v>64</v>
      </c>
      <c r="P35" s="4" t="str">
        <f t="shared" si="15"/>
        <v>100</v>
      </c>
      <c r="Q35" s="1">
        <v>64</v>
      </c>
      <c r="R35" s="4" t="str">
        <f t="shared" si="16"/>
        <v>100</v>
      </c>
      <c r="S35" s="1">
        <v>211</v>
      </c>
      <c r="T35" s="4" t="str">
        <f t="shared" si="17"/>
        <v>34C</v>
      </c>
      <c r="U35" s="1">
        <v>1</v>
      </c>
      <c r="V35" s="1" t="s">
        <v>404</v>
      </c>
      <c r="W35" s="1" t="s">
        <v>436</v>
      </c>
      <c r="X35" s="1" t="s">
        <v>434</v>
      </c>
      <c r="Y35" s="1">
        <v>0</v>
      </c>
      <c r="Z35" s="1">
        <v>10</v>
      </c>
      <c r="AA35" s="1" t="s">
        <v>346</v>
      </c>
      <c r="AC35" s="1" t="s">
        <v>429</v>
      </c>
    </row>
    <row r="37" spans="1:29">
      <c r="A37" s="1" t="s">
        <v>87</v>
      </c>
      <c r="B37" s="1">
        <v>525</v>
      </c>
      <c r="C37" s="1">
        <v>59.94</v>
      </c>
      <c r="D37" s="1">
        <v>525</v>
      </c>
      <c r="E37" s="1">
        <v>486</v>
      </c>
      <c r="F37" s="1">
        <v>18</v>
      </c>
      <c r="G37" s="1">
        <v>909</v>
      </c>
      <c r="H37" s="1">
        <v>756</v>
      </c>
      <c r="I37" s="1">
        <v>63.555599999999998</v>
      </c>
      <c r="J37" s="1">
        <v>52.8581</v>
      </c>
      <c r="K37" s="1" t="s">
        <v>440</v>
      </c>
      <c r="N37" s="1" t="s">
        <v>343</v>
      </c>
      <c r="O37" s="1">
        <v>60</v>
      </c>
      <c r="P37" s="4" t="str">
        <f>DEC2HEX(O37*4)</f>
        <v>F0</v>
      </c>
      <c r="Q37" s="1">
        <v>70.5</v>
      </c>
      <c r="R37" s="4" t="str">
        <f>DEC2HEX(Q37*4)</f>
        <v>11A</v>
      </c>
      <c r="S37" s="1">
        <v>200</v>
      </c>
      <c r="T37" s="4" t="str">
        <f>DEC2HEX(S37*4)</f>
        <v>320</v>
      </c>
      <c r="U37" s="1">
        <v>4</v>
      </c>
      <c r="V37" s="1" t="s">
        <v>441</v>
      </c>
      <c r="W37" s="1" t="s">
        <v>442</v>
      </c>
      <c r="X37" s="1" t="s">
        <v>443</v>
      </c>
      <c r="Y37" s="1">
        <v>2</v>
      </c>
      <c r="Z37" s="1">
        <v>10</v>
      </c>
      <c r="AA37" s="1" t="s">
        <v>346</v>
      </c>
      <c r="AB37" s="1" t="s">
        <v>418</v>
      </c>
    </row>
    <row r="38" spans="1:29">
      <c r="T38" s="4"/>
    </row>
    <row r="39" spans="1:29">
      <c r="A39" s="1" t="s">
        <v>62</v>
      </c>
      <c r="B39" s="1">
        <v>625</v>
      </c>
      <c r="C39" s="1">
        <v>50</v>
      </c>
      <c r="D39" s="1">
        <v>625</v>
      </c>
      <c r="E39" s="1">
        <v>576</v>
      </c>
      <c r="F39" s="1">
        <v>22</v>
      </c>
      <c r="G39" s="1">
        <v>917</v>
      </c>
      <c r="H39" s="1">
        <v>745</v>
      </c>
      <c r="I39" s="1">
        <v>64</v>
      </c>
      <c r="J39" s="1">
        <v>51.995600000000003</v>
      </c>
      <c r="K39" s="1" t="s">
        <v>444</v>
      </c>
      <c r="N39" s="1" t="s">
        <v>343</v>
      </c>
      <c r="O39" s="1">
        <v>60</v>
      </c>
      <c r="P39" s="4" t="str">
        <f>DEC2HEX(O39*4)</f>
        <v>F0</v>
      </c>
      <c r="Q39" s="1">
        <v>60</v>
      </c>
      <c r="R39" s="4" t="str">
        <f>DEC2HEX(Q39*4)</f>
        <v>F0</v>
      </c>
      <c r="S39" s="1">
        <v>200</v>
      </c>
      <c r="T39" s="4" t="str">
        <f>DEC2HEX(S39*4)</f>
        <v>320</v>
      </c>
      <c r="U39" s="1">
        <v>0</v>
      </c>
      <c r="V39" s="1" t="s">
        <v>445</v>
      </c>
      <c r="W39" s="1" t="s">
        <v>446</v>
      </c>
      <c r="X39" s="1" t="s">
        <v>447</v>
      </c>
      <c r="Y39" s="1">
        <v>1</v>
      </c>
      <c r="Z39" s="1">
        <v>10</v>
      </c>
      <c r="AA39" s="1" t="s">
        <v>346</v>
      </c>
    </row>
    <row r="41" spans="1:29">
      <c r="A41" s="1" t="s">
        <v>448</v>
      </c>
      <c r="B41" s="1">
        <v>625</v>
      </c>
      <c r="C41" s="1">
        <v>50</v>
      </c>
      <c r="D41" s="1">
        <v>625</v>
      </c>
      <c r="E41" s="1">
        <v>576</v>
      </c>
      <c r="F41" s="1">
        <v>22</v>
      </c>
      <c r="G41" s="1">
        <v>864</v>
      </c>
      <c r="H41" s="1">
        <v>702</v>
      </c>
      <c r="I41" s="1">
        <v>64</v>
      </c>
      <c r="J41" s="1">
        <v>52</v>
      </c>
      <c r="K41" s="1" t="s">
        <v>369</v>
      </c>
      <c r="N41" s="1" t="s">
        <v>343</v>
      </c>
      <c r="O41" s="1">
        <v>64</v>
      </c>
      <c r="P41" s="4" t="str">
        <f t="shared" ref="P41:P42" si="18">DEC2HEX(O41*4)</f>
        <v>100</v>
      </c>
      <c r="Q41" s="1">
        <v>64</v>
      </c>
      <c r="R41" s="4" t="str">
        <f t="shared" ref="R41:R42" si="19">DEC2HEX(Q41*4)</f>
        <v>100</v>
      </c>
      <c r="S41" s="1">
        <v>192</v>
      </c>
      <c r="T41" s="4" t="str">
        <f t="shared" ref="T41:T42" si="20">DEC2HEX(S41*4)</f>
        <v>300</v>
      </c>
      <c r="U41" s="1">
        <v>9.25</v>
      </c>
      <c r="V41" s="1" t="s">
        <v>394</v>
      </c>
      <c r="W41" s="1" t="s">
        <v>449</v>
      </c>
      <c r="X41" s="1" t="s">
        <v>450</v>
      </c>
      <c r="Y41" s="1">
        <v>5</v>
      </c>
      <c r="Z41" s="1">
        <v>10</v>
      </c>
      <c r="AA41" s="1" t="s">
        <v>346</v>
      </c>
      <c r="AB41" s="1" t="s">
        <v>451</v>
      </c>
    </row>
    <row r="42" spans="1:29">
      <c r="A42" s="1" t="s">
        <v>452</v>
      </c>
      <c r="B42" s="1">
        <v>625</v>
      </c>
      <c r="C42" s="1">
        <v>50</v>
      </c>
      <c r="D42" s="1">
        <v>625</v>
      </c>
      <c r="E42" s="1">
        <v>576</v>
      </c>
      <c r="F42" s="1">
        <v>22</v>
      </c>
      <c r="G42" s="1">
        <v>864</v>
      </c>
      <c r="H42" s="1">
        <v>702</v>
      </c>
      <c r="I42" s="1">
        <v>64</v>
      </c>
      <c r="J42" s="1">
        <v>52</v>
      </c>
      <c r="K42" s="1" t="s">
        <v>369</v>
      </c>
      <c r="N42" s="1" t="s">
        <v>343</v>
      </c>
      <c r="O42" s="1">
        <v>64</v>
      </c>
      <c r="P42" s="4" t="str">
        <f t="shared" si="18"/>
        <v>100</v>
      </c>
      <c r="Q42" s="1">
        <v>64</v>
      </c>
      <c r="R42" s="4" t="str">
        <f t="shared" si="19"/>
        <v>100</v>
      </c>
      <c r="S42" s="1">
        <v>192</v>
      </c>
      <c r="T42" s="4" t="str">
        <f t="shared" si="20"/>
        <v>300</v>
      </c>
      <c r="U42" s="1">
        <v>9.25</v>
      </c>
      <c r="V42" s="1" t="s">
        <v>394</v>
      </c>
      <c r="W42" s="1" t="s">
        <v>449</v>
      </c>
      <c r="X42" s="1" t="s">
        <v>450</v>
      </c>
      <c r="Y42" s="1">
        <v>5</v>
      </c>
      <c r="Z42" s="1">
        <v>10</v>
      </c>
      <c r="AA42" s="1" t="s">
        <v>346</v>
      </c>
      <c r="AB42" s="1" t="s">
        <v>451</v>
      </c>
    </row>
    <row r="44" spans="1:29">
      <c r="A44" s="1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Standard.dat and stdbytes</vt:lpstr>
      <vt:lpstr>Clamp timing</vt:lpstr>
      <vt:lpstr>StdByte2</vt:lpstr>
      <vt:lpstr>PLN  CPS header</vt:lpstr>
      <vt:lpstr>TPGIMPT 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Millman</cp:lastModifiedBy>
  <dcterms:modified xsi:type="dcterms:W3CDTF">2026-02-26T07:05:09Z</dcterms:modified>
</cp:coreProperties>
</file>